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onu_\Downloads\Magic Bricks\"/>
    </mc:Choice>
  </mc:AlternateContent>
  <xr:revisionPtr revIDLastSave="0" documentId="13_ncr:1_{2663DF0D-2D28-48E8-8D35-D9FED2DB2F48}" xr6:coauthVersionLast="47" xr6:coauthVersionMax="47" xr10:uidLastSave="{00000000-0000-0000-0000-000000000000}"/>
  <bookViews>
    <workbookView xWindow="-108" yWindow="-108" windowWidth="23256" windowHeight="12456" xr2:uid="{EBC18633-5538-4259-A686-FCF66A372EBA}"/>
  </bookViews>
  <sheets>
    <sheet name="Sorc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31" i="1" l="1" a="1"/>
  <c r="O1531" i="1" s="1"/>
  <c r="N1531" i="1"/>
  <c r="M1531" i="1"/>
  <c r="O1530" i="1" a="1"/>
  <c r="O1530" i="1" s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 a="1"/>
  <c r="O1526" i="1" s="1"/>
  <c r="N1526" i="1"/>
  <c r="M1526" i="1"/>
  <c r="O1525" i="1" a="1"/>
  <c r="O1525" i="1" s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 a="1"/>
  <c r="O1517" i="1" s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 a="1"/>
  <c r="O1513" i="1" s="1"/>
  <c r="N1513" i="1"/>
  <c r="M1513" i="1"/>
  <c r="O1512" i="1" a="1"/>
  <c r="O1512" i="1" s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 a="1"/>
  <c r="O1501" i="1" s="1"/>
  <c r="N1501" i="1"/>
  <c r="M1501" i="1"/>
  <c r="O1500" i="1" a="1"/>
  <c r="O1500" i="1" s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 a="1"/>
  <c r="O1477" i="1" s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 a="1"/>
  <c r="O1472" i="1" s="1"/>
  <c r="N1472" i="1"/>
  <c r="M1472" i="1"/>
  <c r="O1471" i="1" a="1"/>
  <c r="O1471" i="1" s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 a="1"/>
  <c r="O1466" i="1" s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 a="1"/>
  <c r="O1460" i="1" s="1"/>
  <c r="N1460" i="1"/>
  <c r="M1460" i="1"/>
  <c r="O1459" i="1" a="1"/>
  <c r="O1459" i="1" s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 a="1"/>
  <c r="O1456" i="1" s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 a="1"/>
  <c r="O1446" i="1" s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 a="1"/>
  <c r="O1442" i="1" s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 a="1"/>
  <c r="O1436" i="1" s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 a="1"/>
  <c r="O1430" i="1" s="1"/>
  <c r="N1430" i="1"/>
  <c r="M1430" i="1"/>
  <c r="O1429" i="1" a="1"/>
  <c r="O1429" i="1" s="1"/>
  <c r="N1429" i="1"/>
  <c r="M1429" i="1"/>
  <c r="O1428" i="1" a="1"/>
  <c r="O1428" i="1" s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 a="1"/>
  <c r="O1421" i="1" s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 a="1"/>
  <c r="O1412" i="1" s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 a="1"/>
  <c r="O1401" i="1" s="1"/>
  <c r="N1401" i="1"/>
  <c r="M1401" i="1"/>
  <c r="O1400" i="1" a="1"/>
  <c r="O1400" i="1" s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 a="1"/>
  <c r="O1394" i="1" s="1"/>
  <c r="N1394" i="1"/>
  <c r="M1394" i="1"/>
  <c r="O1393" i="1" a="1"/>
  <c r="O1393" i="1" s="1"/>
  <c r="N1393" i="1"/>
  <c r="M1393" i="1"/>
  <c r="O1392" i="1" a="1"/>
  <c r="O1392" i="1" s="1"/>
  <c r="N1392" i="1"/>
  <c r="M1392" i="1"/>
  <c r="O1391" i="1" a="1"/>
  <c r="O1391" i="1" s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 a="1"/>
  <c r="O1388" i="1" s="1"/>
  <c r="N1388" i="1"/>
  <c r="M1388" i="1"/>
  <c r="O1387" i="1" a="1"/>
  <c r="O1387" i="1" s="1"/>
  <c r="N1387" i="1"/>
  <c r="M1387" i="1"/>
  <c r="O1386" i="1" a="1"/>
  <c r="O1386" i="1" s="1"/>
  <c r="N1386" i="1"/>
  <c r="M1386" i="1"/>
  <c r="O1385" i="1" a="1"/>
  <c r="O1385" i="1" s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 a="1"/>
  <c r="O1382" i="1" s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 a="1"/>
  <c r="O1379" i="1" s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 a="1"/>
  <c r="O1364" i="1" s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 a="1"/>
  <c r="O1358" i="1" s="1"/>
  <c r="N1358" i="1"/>
  <c r="M1358" i="1"/>
  <c r="O1357" i="1" a="1"/>
  <c r="O1357" i="1" s="1"/>
  <c r="N1357" i="1"/>
  <c r="M1357" i="1"/>
  <c r="O1356" i="1" a="1"/>
  <c r="O1356" i="1" s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 a="1"/>
  <c r="O1343" i="1" s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 a="1"/>
  <c r="O1330" i="1" s="1"/>
  <c r="N1330" i="1"/>
  <c r="M1330" i="1"/>
  <c r="O1329" i="1" a="1"/>
  <c r="O1329" i="1" s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 a="1"/>
  <c r="O1316" i="1" s="1"/>
  <c r="N1316" i="1"/>
  <c r="M1316" i="1"/>
  <c r="O1315" i="1" a="1"/>
  <c r="O1315" i="1" s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 a="1"/>
  <c r="O1309" i="1" s="1"/>
  <c r="N1309" i="1"/>
  <c r="M1309" i="1"/>
  <c r="O1308" i="1" a="1"/>
  <c r="O1308" i="1" s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 a="1"/>
  <c r="O1302" i="1" s="1"/>
  <c r="N1302" i="1"/>
  <c r="M1302" i="1"/>
  <c r="O1301" i="1" a="1"/>
  <c r="O1301" i="1" s="1"/>
  <c r="N1301" i="1"/>
  <c r="M1301" i="1"/>
  <c r="O1300" i="1"/>
  <c r="O1300" i="1" a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 a="1"/>
  <c r="O1295" i="1" s="1"/>
  <c r="N1295" i="1"/>
  <c r="M1295" i="1"/>
  <c r="O1294" i="1" a="1"/>
  <c r="O1294" i="1" s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 a="1"/>
  <c r="O1288" i="1" s="1"/>
  <c r="N1288" i="1"/>
  <c r="M1288" i="1"/>
  <c r="O1287" i="1" a="1"/>
  <c r="O1287" i="1" s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 a="1"/>
  <c r="O1284" i="1" s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 a="1"/>
  <c r="O1281" i="1" s="1"/>
  <c r="N1281" i="1"/>
  <c r="M1281" i="1"/>
  <c r="O1280" i="1" a="1"/>
  <c r="O1280" i="1" s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 a="1"/>
  <c r="O1273" i="1" s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 a="1"/>
  <c r="O1267" i="1" s="1"/>
  <c r="N1267" i="1"/>
  <c r="M1267" i="1"/>
  <c r="O1266" i="1" a="1"/>
  <c r="O1266" i="1" s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 a="1"/>
  <c r="O1263" i="1" s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 a="1"/>
  <c r="O1260" i="1" s="1"/>
  <c r="N1260" i="1"/>
  <c r="M1260" i="1"/>
  <c r="O1259" i="1" a="1"/>
  <c r="O1259" i="1" s="1"/>
  <c r="N1259" i="1"/>
  <c r="M1259" i="1"/>
  <c r="O1258" i="1"/>
  <c r="O1258" i="1" a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 a="1"/>
  <c r="O1255" i="1" s="1"/>
  <c r="N1255" i="1"/>
  <c r="M1255" i="1"/>
  <c r="O1254" i="1" a="1"/>
  <c r="O1254" i="1" s="1"/>
  <c r="N1254" i="1"/>
  <c r="M1254" i="1"/>
  <c r="O1253" i="1" a="1"/>
  <c r="O1253" i="1" s="1"/>
  <c r="N1253" i="1"/>
  <c r="M1253" i="1"/>
  <c r="O1252" i="1" a="1"/>
  <c r="O1252" i="1" s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 a="1"/>
  <c r="O1233" i="1" s="1"/>
  <c r="N1233" i="1"/>
  <c r="M1233" i="1"/>
  <c r="O1232" i="1" a="1"/>
  <c r="O1232" i="1" s="1"/>
  <c r="N1232" i="1"/>
  <c r="M1232" i="1"/>
  <c r="O1231" i="1" a="1"/>
  <c r="O1231" i="1" s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 a="1"/>
  <c r="O1218" i="1" s="1"/>
  <c r="N1218" i="1"/>
  <c r="M1218" i="1"/>
  <c r="O1217" i="1" a="1"/>
  <c r="O1217" i="1" s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 a="1"/>
  <c r="O1212" i="1" s="1"/>
  <c r="N1212" i="1"/>
  <c r="M1212" i="1"/>
  <c r="O1211" i="1" a="1"/>
  <c r="O1211" i="1" s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 a="1"/>
  <c r="O1204" i="1" s="1"/>
  <c r="N1204" i="1"/>
  <c r="M1204" i="1"/>
  <c r="O1203" i="1" a="1"/>
  <c r="O1203" i="1" s="1"/>
  <c r="N1203" i="1"/>
  <c r="M1203" i="1"/>
  <c r="O1202" i="1"/>
  <c r="O1202" i="1" a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 a="1"/>
  <c r="O1196" i="1" s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 a="1"/>
  <c r="O1190" i="1" s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 a="1"/>
  <c r="O1183" i="1" s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 a="1"/>
  <c r="O1176" i="1" s="1"/>
  <c r="N1176" i="1"/>
  <c r="M1176" i="1"/>
  <c r="O1175" i="1" a="1"/>
  <c r="O1175" i="1" s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 a="1"/>
  <c r="O1169" i="1" s="1"/>
  <c r="N1169" i="1"/>
  <c r="M1169" i="1"/>
  <c r="O1168" i="1" a="1"/>
  <c r="O1168" i="1" s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 a="1"/>
  <c r="O1165" i="1" s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 a="1"/>
  <c r="O1162" i="1" s="1"/>
  <c r="N1162" i="1"/>
  <c r="M1162" i="1"/>
  <c r="O1161" i="1" a="1"/>
  <c r="O1161" i="1" s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 a="1"/>
  <c r="O1157" i="1" s="1"/>
  <c r="N1157" i="1"/>
  <c r="M1157" i="1"/>
  <c r="O1156" i="1" a="1"/>
  <c r="O1156" i="1" s="1"/>
  <c r="N1156" i="1"/>
  <c r="M1156" i="1"/>
  <c r="O1155" i="1" a="1"/>
  <c r="O1155" i="1" s="1"/>
  <c r="N1155" i="1"/>
  <c r="M1155" i="1"/>
  <c r="O1154" i="1" a="1"/>
  <c r="O1154" i="1" s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 a="1"/>
  <c r="O1148" i="1" s="1"/>
  <c r="N1148" i="1"/>
  <c r="M1148" i="1"/>
  <c r="O1147" i="1" a="1"/>
  <c r="O1147" i="1" s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 a="1"/>
  <c r="O1142" i="1" s="1"/>
  <c r="N1142" i="1"/>
  <c r="M1142" i="1"/>
  <c r="O1141" i="1" a="1"/>
  <c r="O1141" i="1" s="1"/>
  <c r="N1141" i="1"/>
  <c r="M1141" i="1"/>
  <c r="O1140" i="1" a="1"/>
  <c r="O1140" i="1" s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/>
  <c r="O1136" i="1" a="1"/>
  <c r="N1136" i="1"/>
  <c r="M1136" i="1"/>
  <c r="O1135" i="1" a="1"/>
  <c r="O1135" i="1" s="1"/>
  <c r="N1135" i="1"/>
  <c r="M1135" i="1"/>
  <c r="O1134" i="1" a="1"/>
  <c r="O1134" i="1" s="1"/>
  <c r="N1134" i="1"/>
  <c r="M1134" i="1"/>
  <c r="O1133" i="1" a="1"/>
  <c r="O1133" i="1" s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 a="1"/>
  <c r="O1130" i="1" s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 a="1"/>
  <c r="O1126" i="1" s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 a="1"/>
  <c r="O1120" i="1" s="1"/>
  <c r="N1120" i="1"/>
  <c r="M1120" i="1"/>
  <c r="O1119" i="1" a="1"/>
  <c r="O1119" i="1" s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 a="1"/>
  <c r="O1115" i="1" s="1"/>
  <c r="N1115" i="1"/>
  <c r="M1115" i="1"/>
  <c r="O1114" i="1" a="1"/>
  <c r="O1114" i="1" s="1"/>
  <c r="N1114" i="1"/>
  <c r="M1114" i="1"/>
  <c r="O1113" i="1" a="1"/>
  <c r="O1113" i="1" s="1"/>
  <c r="N1113" i="1"/>
  <c r="M1113" i="1"/>
  <c r="O1112" i="1" a="1"/>
  <c r="O1112" i="1" s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 a="1"/>
  <c r="O1106" i="1" s="1"/>
  <c r="N1106" i="1"/>
  <c r="M1106" i="1"/>
  <c r="O1105" i="1" a="1"/>
  <c r="O1105" i="1" s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/>
  <c r="O1102" i="1" a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 a="1"/>
  <c r="O1099" i="1" s="1"/>
  <c r="N1099" i="1"/>
  <c r="M1099" i="1"/>
  <c r="O1098" i="1" a="1"/>
  <c r="O1098" i="1" s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 a="1"/>
  <c r="O1093" i="1" s="1"/>
  <c r="N1093" i="1"/>
  <c r="M1093" i="1"/>
  <c r="O1092" i="1" a="1"/>
  <c r="O1092" i="1" s="1"/>
  <c r="N1092" i="1"/>
  <c r="M1092" i="1"/>
  <c r="O1091" i="1" a="1"/>
  <c r="O1091" i="1" s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 a="1"/>
  <c r="O1085" i="1" s="1"/>
  <c r="N1085" i="1"/>
  <c r="M1085" i="1"/>
  <c r="O1084" i="1" a="1"/>
  <c r="O1084" i="1" s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 a="1"/>
  <c r="O1079" i="1" s="1"/>
  <c r="N1079" i="1"/>
  <c r="M1079" i="1"/>
  <c r="O1078" i="1" a="1"/>
  <c r="O1078" i="1" s="1"/>
  <c r="N1078" i="1"/>
  <c r="M1078" i="1"/>
  <c r="O1077" i="1" a="1"/>
  <c r="O1077" i="1" s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 a="1"/>
  <c r="O1071" i="1" s="1"/>
  <c r="N1071" i="1"/>
  <c r="M1071" i="1"/>
  <c r="O1070" i="1" a="1"/>
  <c r="O1070" i="1" s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/>
  <c r="O1066" i="1" a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 a="1"/>
  <c r="O1063" i="1" s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 a="1"/>
  <c r="O1056" i="1" s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 a="1"/>
  <c r="O1042" i="1" s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 a="1"/>
  <c r="O1035" i="1" s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 a="1"/>
  <c r="O1021" i="1" s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 a="1"/>
  <c r="O1007" i="1" s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 a="1"/>
  <c r="O1000" i="1" s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 a="1"/>
  <c r="O995" i="1" s="1"/>
  <c r="N995" i="1"/>
  <c r="M995" i="1"/>
  <c r="O994" i="1" a="1"/>
  <c r="O994" i="1" s="1"/>
  <c r="N994" i="1"/>
  <c r="M994" i="1"/>
  <c r="O993" i="1" a="1"/>
  <c r="O993" i="1" s="1"/>
  <c r="N993" i="1"/>
  <c r="M993" i="1"/>
  <c r="O992" i="1"/>
  <c r="O992" i="1" a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 a="1"/>
  <c r="O986" i="1" s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 a="1"/>
  <c r="O981" i="1" s="1"/>
  <c r="N981" i="1"/>
  <c r="M981" i="1"/>
  <c r="O980" i="1" a="1"/>
  <c r="O980" i="1" s="1"/>
  <c r="N980" i="1"/>
  <c r="M980" i="1"/>
  <c r="O979" i="1" a="1"/>
  <c r="O979" i="1" s="1"/>
  <c r="N979" i="1"/>
  <c r="M979" i="1"/>
  <c r="O978" i="1" a="1"/>
  <c r="O978" i="1" s="1"/>
  <c r="N978" i="1"/>
  <c r="M978" i="1"/>
  <c r="O977" i="1" a="1"/>
  <c r="O977" i="1" s="1"/>
  <c r="N977" i="1"/>
  <c r="M977" i="1"/>
  <c r="O976" i="1" a="1"/>
  <c r="O976" i="1" s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 a="1"/>
  <c r="O968" i="1" s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 a="1"/>
  <c r="O959" i="1" s="1"/>
  <c r="N959" i="1"/>
  <c r="M959" i="1"/>
  <c r="O958" i="1" a="1"/>
  <c r="O958" i="1" s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 a="1"/>
  <c r="O951" i="1" s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 a="1"/>
  <c r="O944" i="1" s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 a="1"/>
  <c r="O937" i="1" s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 a="1"/>
  <c r="O931" i="1" s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 a="1"/>
  <c r="O923" i="1" s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 a="1"/>
  <c r="O910" i="1" s="1"/>
  <c r="N910" i="1"/>
  <c r="M910" i="1"/>
  <c r="O909" i="1" a="1"/>
  <c r="O909" i="1" s="1"/>
  <c r="N909" i="1"/>
  <c r="M909" i="1"/>
  <c r="O908" i="1" a="1"/>
  <c r="O908" i="1" s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 a="1"/>
  <c r="O904" i="1" s="1"/>
  <c r="N904" i="1"/>
  <c r="M904" i="1"/>
  <c r="O903" i="1" a="1"/>
  <c r="O903" i="1" s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 a="1"/>
  <c r="O896" i="1" s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 a="1"/>
  <c r="O891" i="1" s="1"/>
  <c r="N891" i="1"/>
  <c r="M891" i="1"/>
  <c r="O890" i="1" a="1"/>
  <c r="O890" i="1" s="1"/>
  <c r="N890" i="1"/>
  <c r="M890" i="1"/>
  <c r="O889" i="1"/>
  <c r="O889" i="1" a="1"/>
  <c r="N889" i="1"/>
  <c r="M889" i="1"/>
  <c r="O888" i="1" a="1"/>
  <c r="O888" i="1" s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/>
  <c r="O883" i="1" a="1"/>
  <c r="N883" i="1"/>
  <c r="M883" i="1"/>
  <c r="O882" i="1" a="1"/>
  <c r="O882" i="1" s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 a="1"/>
  <c r="O876" i="1" s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 a="1"/>
  <c r="O872" i="1" s="1"/>
  <c r="N872" i="1"/>
  <c r="M872" i="1"/>
  <c r="O871" i="1" a="1"/>
  <c r="O871" i="1" s="1"/>
  <c r="N871" i="1"/>
  <c r="M871" i="1"/>
  <c r="O870" i="1" a="1"/>
  <c r="O870" i="1" s="1"/>
  <c r="N870" i="1"/>
  <c r="M870" i="1"/>
  <c r="O869" i="1" a="1"/>
  <c r="O869" i="1" s="1"/>
  <c r="N869" i="1"/>
  <c r="M869" i="1"/>
  <c r="O868" i="1" a="1"/>
  <c r="O868" i="1" s="1"/>
  <c r="N868" i="1"/>
  <c r="M868" i="1"/>
  <c r="O867" i="1" a="1"/>
  <c r="O867" i="1" s="1"/>
  <c r="N867" i="1"/>
  <c r="M867" i="1"/>
  <c r="O866" i="1" a="1"/>
  <c r="O866" i="1" s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 a="1"/>
  <c r="O862" i="1" s="1"/>
  <c r="N862" i="1"/>
  <c r="M862" i="1"/>
  <c r="O861" i="1" a="1"/>
  <c r="O861" i="1" s="1"/>
  <c r="N861" i="1"/>
  <c r="M861" i="1"/>
  <c r="O860" i="1" a="1"/>
  <c r="O860" i="1" s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 a="1"/>
  <c r="O856" i="1" s="1"/>
  <c r="N856" i="1"/>
  <c r="M856" i="1"/>
  <c r="O855" i="1" a="1"/>
  <c r="O855" i="1" s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 a="1"/>
  <c r="O839" i="1" s="1"/>
  <c r="N839" i="1"/>
  <c r="M839" i="1"/>
  <c r="O838" i="1" a="1"/>
  <c r="O838" i="1" s="1"/>
  <c r="N838" i="1"/>
  <c r="M838" i="1"/>
  <c r="O837" i="1" a="1"/>
  <c r="O837" i="1" s="1"/>
  <c r="N837" i="1"/>
  <c r="M837" i="1"/>
  <c r="O836" i="1" a="1"/>
  <c r="O836" i="1" s="1"/>
  <c r="N836" i="1"/>
  <c r="M836" i="1"/>
  <c r="O835" i="1" a="1"/>
  <c r="O835" i="1" s="1"/>
  <c r="N835" i="1"/>
  <c r="M835" i="1"/>
  <c r="O834" i="1" a="1"/>
  <c r="O834" i="1" s="1"/>
  <c r="N834" i="1"/>
  <c r="M834" i="1"/>
  <c r="O833" i="1" a="1"/>
  <c r="O833" i="1" s="1"/>
  <c r="N833" i="1"/>
  <c r="M833" i="1"/>
  <c r="O832" i="1" a="1"/>
  <c r="O832" i="1" s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/>
  <c r="O819" i="1" a="1"/>
  <c r="N819" i="1"/>
  <c r="M819" i="1"/>
  <c r="O818" i="1" a="1"/>
  <c r="O818" i="1" s="1"/>
  <c r="N818" i="1"/>
  <c r="M818" i="1"/>
  <c r="O817" i="1" a="1"/>
  <c r="O817" i="1" s="1"/>
  <c r="N817" i="1"/>
  <c r="M817" i="1"/>
  <c r="O816" i="1" a="1"/>
  <c r="O816" i="1" s="1"/>
  <c r="N816" i="1"/>
  <c r="M816" i="1"/>
  <c r="O815" i="1" a="1"/>
  <c r="O815" i="1" s="1"/>
  <c r="N815" i="1"/>
  <c r="M815" i="1"/>
  <c r="O814" i="1" a="1"/>
  <c r="O814" i="1" s="1"/>
  <c r="N814" i="1"/>
  <c r="M814" i="1"/>
  <c r="O813" i="1" a="1"/>
  <c r="O813" i="1" s="1"/>
  <c r="N813" i="1"/>
  <c r="M813" i="1"/>
  <c r="O812" i="1" a="1"/>
  <c r="O812" i="1" s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 a="1"/>
  <c r="O804" i="1" s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 a="1"/>
  <c r="O800" i="1" s="1"/>
  <c r="N800" i="1"/>
  <c r="M800" i="1"/>
  <c r="O799" i="1" a="1"/>
  <c r="O799" i="1" s="1"/>
  <c r="N799" i="1"/>
  <c r="M799" i="1"/>
  <c r="O798" i="1" a="1"/>
  <c r="O798" i="1" s="1"/>
  <c r="N798" i="1"/>
  <c r="M798" i="1"/>
  <c r="O797" i="1" a="1"/>
  <c r="O797" i="1" s="1"/>
  <c r="N797" i="1"/>
  <c r="M797" i="1"/>
  <c r="O796" i="1" a="1"/>
  <c r="O796" i="1" s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 a="1"/>
  <c r="O792" i="1" s="1"/>
  <c r="N792" i="1"/>
  <c r="M792" i="1"/>
  <c r="O791" i="1" a="1"/>
  <c r="O791" i="1" s="1"/>
  <c r="N791" i="1"/>
  <c r="M791" i="1"/>
  <c r="O790" i="1" a="1"/>
  <c r="O790" i="1" s="1"/>
  <c r="N790" i="1"/>
  <c r="M790" i="1"/>
  <c r="O789" i="1"/>
  <c r="O789" i="1" a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 a="1"/>
  <c r="O785" i="1" s="1"/>
  <c r="N785" i="1"/>
  <c r="M785" i="1"/>
  <c r="O784" i="1" a="1"/>
  <c r="O784" i="1" s="1"/>
  <c r="N784" i="1"/>
  <c r="M784" i="1"/>
  <c r="O783" i="1" a="1"/>
  <c r="O783" i="1" s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 a="1"/>
  <c r="O776" i="1" s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 a="1"/>
  <c r="O770" i="1" s="1"/>
  <c r="N770" i="1"/>
  <c r="M770" i="1"/>
  <c r="O769" i="1" a="1"/>
  <c r="O769" i="1" s="1"/>
  <c r="N769" i="1"/>
  <c r="M769" i="1"/>
  <c r="O768" i="1" a="1"/>
  <c r="O768" i="1" s="1"/>
  <c r="N768" i="1"/>
  <c r="M768" i="1"/>
  <c r="O767" i="1" a="1"/>
  <c r="O767" i="1" s="1"/>
  <c r="N767" i="1"/>
  <c r="M767" i="1"/>
  <c r="O766" i="1" a="1"/>
  <c r="O766" i="1" s="1"/>
  <c r="N766" i="1"/>
  <c r="M766" i="1"/>
  <c r="O765" i="1" a="1"/>
  <c r="O765" i="1" s="1"/>
  <c r="N765" i="1"/>
  <c r="M765" i="1"/>
  <c r="O764" i="1" a="1"/>
  <c r="O764" i="1" s="1"/>
  <c r="N764" i="1"/>
  <c r="M764" i="1"/>
  <c r="O763" i="1" a="1"/>
  <c r="O763" i="1" s="1"/>
  <c r="N763" i="1"/>
  <c r="M763" i="1"/>
  <c r="O762" i="1" a="1"/>
  <c r="O762" i="1" s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 a="1"/>
  <c r="O756" i="1" s="1"/>
  <c r="N756" i="1"/>
  <c r="M756" i="1"/>
  <c r="O755" i="1" a="1"/>
  <c r="O755" i="1" s="1"/>
  <c r="N755" i="1"/>
  <c r="M755" i="1"/>
  <c r="O754" i="1" a="1"/>
  <c r="O754" i="1" s="1"/>
  <c r="N754" i="1"/>
  <c r="M754" i="1"/>
  <c r="O753" i="1" a="1"/>
  <c r="O753" i="1" s="1"/>
  <c r="N753" i="1"/>
  <c r="M753" i="1"/>
  <c r="O752" i="1" a="1"/>
  <c r="O752" i="1" s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 a="1"/>
  <c r="O748" i="1" s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 a="1"/>
  <c r="O741" i="1" s="1"/>
  <c r="N741" i="1"/>
  <c r="M741" i="1"/>
  <c r="O740" i="1" a="1"/>
  <c r="O740" i="1" s="1"/>
  <c r="N740" i="1"/>
  <c r="M740" i="1"/>
  <c r="O739" i="1"/>
  <c r="O739" i="1" a="1"/>
  <c r="N739" i="1"/>
  <c r="M739" i="1"/>
  <c r="O738" i="1" a="1"/>
  <c r="O738" i="1" s="1"/>
  <c r="N738" i="1"/>
  <c r="M738" i="1"/>
  <c r="O737" i="1" a="1"/>
  <c r="O737" i="1" s="1"/>
  <c r="N737" i="1"/>
  <c r="M737" i="1"/>
  <c r="O736" i="1" a="1"/>
  <c r="O736" i="1" s="1"/>
  <c r="N736" i="1"/>
  <c r="M736" i="1"/>
  <c r="O735" i="1" a="1"/>
  <c r="O735" i="1" s="1"/>
  <c r="N735" i="1"/>
  <c r="M735" i="1"/>
  <c r="O734" i="1" a="1"/>
  <c r="O734" i="1" s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 a="1"/>
  <c r="O727" i="1" s="1"/>
  <c r="N727" i="1"/>
  <c r="M727" i="1"/>
  <c r="O726" i="1" a="1"/>
  <c r="O726" i="1" s="1"/>
  <c r="N726" i="1"/>
  <c r="M726" i="1"/>
  <c r="O725" i="1" a="1"/>
  <c r="O725" i="1" s="1"/>
  <c r="N725" i="1"/>
  <c r="M725" i="1"/>
  <c r="O724" i="1" a="1"/>
  <c r="O724" i="1" s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 a="1"/>
  <c r="O716" i="1" s="1"/>
  <c r="N716" i="1"/>
  <c r="M716" i="1"/>
  <c r="O715" i="1" a="1"/>
  <c r="O715" i="1" s="1"/>
  <c r="N715" i="1"/>
  <c r="M715" i="1"/>
  <c r="O714" i="1" a="1"/>
  <c r="O714" i="1" s="1"/>
  <c r="N714" i="1"/>
  <c r="M714" i="1"/>
  <c r="O713" i="1" a="1"/>
  <c r="O713" i="1" s="1"/>
  <c r="N713" i="1"/>
  <c r="M713" i="1"/>
  <c r="O712" i="1" a="1"/>
  <c r="O712" i="1" s="1"/>
  <c r="N712" i="1"/>
  <c r="M712" i="1"/>
  <c r="O711" i="1" a="1"/>
  <c r="O711" i="1" s="1"/>
  <c r="N711" i="1"/>
  <c r="M711" i="1"/>
  <c r="O710" i="1" a="1"/>
  <c r="O710" i="1" s="1"/>
  <c r="N710" i="1"/>
  <c r="M710" i="1"/>
  <c r="O709" i="1" a="1"/>
  <c r="O709" i="1" s="1"/>
  <c r="N709" i="1"/>
  <c r="M709" i="1"/>
  <c r="O708" i="1" a="1"/>
  <c r="O708" i="1" s="1"/>
  <c r="N708" i="1"/>
  <c r="M708" i="1"/>
  <c r="O707" i="1" a="1"/>
  <c r="O707" i="1" s="1"/>
  <c r="N707" i="1"/>
  <c r="M707" i="1"/>
  <c r="O706" i="1" a="1"/>
  <c r="O706" i="1" s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 a="1"/>
  <c r="O701" i="1" s="1"/>
  <c r="N701" i="1"/>
  <c r="M701" i="1"/>
  <c r="O700" i="1" a="1"/>
  <c r="O700" i="1" s="1"/>
  <c r="N700" i="1"/>
  <c r="M700" i="1"/>
  <c r="O699" i="1" a="1"/>
  <c r="O699" i="1" s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 a="1"/>
  <c r="O695" i="1" s="1"/>
  <c r="N695" i="1"/>
  <c r="M695" i="1"/>
  <c r="O694" i="1" a="1"/>
  <c r="O694" i="1" s="1"/>
  <c r="N694" i="1"/>
  <c r="M694" i="1"/>
  <c r="O693" i="1" a="1"/>
  <c r="O693" i="1" s="1"/>
  <c r="N693" i="1"/>
  <c r="M693" i="1"/>
  <c r="O692" i="1" a="1"/>
  <c r="O692" i="1" s="1"/>
  <c r="N692" i="1"/>
  <c r="M692" i="1"/>
  <c r="O691" i="1" a="1"/>
  <c r="O691" i="1" s="1"/>
  <c r="N691" i="1"/>
  <c r="M691" i="1"/>
  <c r="O690" i="1" a="1"/>
  <c r="O690" i="1" s="1"/>
  <c r="N690" i="1"/>
  <c r="M690" i="1"/>
  <c r="O689" i="1" a="1"/>
  <c r="O689" i="1" s="1"/>
  <c r="N689" i="1"/>
  <c r="M689" i="1"/>
  <c r="O688" i="1" a="1"/>
  <c r="O688" i="1" s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 a="1"/>
  <c r="O682" i="1" s="1"/>
  <c r="N682" i="1"/>
  <c r="M682" i="1"/>
  <c r="O681" i="1" a="1"/>
  <c r="O681" i="1" s="1"/>
  <c r="N681" i="1"/>
  <c r="M681" i="1"/>
  <c r="O680" i="1" a="1"/>
  <c r="O680" i="1" s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 a="1"/>
  <c r="O675" i="1" s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 a="1"/>
  <c r="O671" i="1" s="1"/>
  <c r="N671" i="1"/>
  <c r="M671" i="1"/>
  <c r="O670" i="1" a="1"/>
  <c r="O670" i="1" s="1"/>
  <c r="N670" i="1"/>
  <c r="M670" i="1"/>
  <c r="O669" i="1" a="1"/>
  <c r="O669" i="1" s="1"/>
  <c r="N669" i="1"/>
  <c r="M669" i="1"/>
  <c r="O668" i="1" a="1"/>
  <c r="O668" i="1" s="1"/>
  <c r="N668" i="1"/>
  <c r="M668" i="1"/>
  <c r="O667" i="1" a="1"/>
  <c r="O667" i="1" s="1"/>
  <c r="N667" i="1"/>
  <c r="M667" i="1"/>
  <c r="O666" i="1" a="1"/>
  <c r="O666" i="1" s="1"/>
  <c r="N666" i="1"/>
  <c r="M666" i="1"/>
  <c r="O665" i="1" a="1"/>
  <c r="O665" i="1" s="1"/>
  <c r="N665" i="1"/>
  <c r="M665" i="1"/>
  <c r="O664" i="1" a="1"/>
  <c r="O664" i="1" s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 a="1"/>
  <c r="O658" i="1" s="1"/>
  <c r="N658" i="1"/>
  <c r="M658" i="1"/>
  <c r="O657" i="1" a="1"/>
  <c r="O657" i="1" s="1"/>
  <c r="N657" i="1"/>
  <c r="M657" i="1"/>
  <c r="O656" i="1" a="1"/>
  <c r="O656" i="1" s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 a="1"/>
  <c r="O652" i="1" s="1"/>
  <c r="N652" i="1"/>
  <c r="M652" i="1"/>
  <c r="O651" i="1"/>
  <c r="O651" i="1" a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 a="1"/>
  <c r="O643" i="1" s="1"/>
  <c r="N643" i="1"/>
  <c r="M643" i="1"/>
  <c r="O642" i="1" a="1"/>
  <c r="O642" i="1" s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 a="1"/>
  <c r="O637" i="1" s="1"/>
  <c r="N637" i="1"/>
  <c r="M637" i="1"/>
  <c r="O636" i="1" a="1"/>
  <c r="O636" i="1" s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 a="1"/>
  <c r="O627" i="1" s="1"/>
  <c r="N627" i="1"/>
  <c r="M627" i="1"/>
  <c r="O626" i="1" a="1"/>
  <c r="O626" i="1" s="1"/>
  <c r="N626" i="1"/>
  <c r="M626" i="1"/>
  <c r="O625" i="1" a="1"/>
  <c r="O625" i="1" s="1"/>
  <c r="N625" i="1"/>
  <c r="M625" i="1"/>
  <c r="O624" i="1" a="1"/>
  <c r="O624" i="1" s="1"/>
  <c r="N624" i="1"/>
  <c r="M624" i="1"/>
  <c r="O623" i="1" a="1"/>
  <c r="O623" i="1" s="1"/>
  <c r="N623" i="1"/>
  <c r="M623" i="1"/>
  <c r="O622" i="1" a="1"/>
  <c r="O622" i="1" s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 a="1"/>
  <c r="O618" i="1" s="1"/>
  <c r="N618" i="1"/>
  <c r="M618" i="1"/>
  <c r="O617" i="1" a="1"/>
  <c r="O617" i="1" s="1"/>
  <c r="N617" i="1"/>
  <c r="M617" i="1"/>
  <c r="O616" i="1" a="1"/>
  <c r="O616" i="1" s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 a="1"/>
  <c r="O608" i="1" s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 a="1"/>
  <c r="O601" i="1" s="1"/>
  <c r="N601" i="1"/>
  <c r="M601" i="1"/>
  <c r="O600" i="1" a="1"/>
  <c r="O600" i="1" s="1"/>
  <c r="N600" i="1"/>
  <c r="M600" i="1"/>
  <c r="O599" i="1" a="1"/>
  <c r="O599" i="1" s="1"/>
  <c r="N599" i="1"/>
  <c r="M599" i="1"/>
  <c r="O598" i="1" a="1"/>
  <c r="O598" i="1" s="1"/>
  <c r="N598" i="1"/>
  <c r="M598" i="1"/>
  <c r="O597" i="1" a="1"/>
  <c r="O597" i="1" s="1"/>
  <c r="N597" i="1"/>
  <c r="M597" i="1"/>
  <c r="O596" i="1" a="1"/>
  <c r="O596" i="1" s="1"/>
  <c r="N596" i="1"/>
  <c r="M596" i="1"/>
  <c r="O595" i="1" a="1"/>
  <c r="O595" i="1" s="1"/>
  <c r="N595" i="1"/>
  <c r="M595" i="1"/>
  <c r="O594" i="1" a="1"/>
  <c r="O594" i="1" s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 a="1"/>
  <c r="O587" i="1" s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 a="1"/>
  <c r="O581" i="1" s="1"/>
  <c r="N581" i="1"/>
  <c r="M581" i="1"/>
  <c r="O580" i="1" a="1"/>
  <c r="O580" i="1" s="1"/>
  <c r="N580" i="1"/>
  <c r="M580" i="1"/>
  <c r="O579" i="1" a="1"/>
  <c r="O579" i="1" s="1"/>
  <c r="N579" i="1"/>
  <c r="M579" i="1"/>
  <c r="O578" i="1" a="1"/>
  <c r="O578" i="1" s="1"/>
  <c r="N578" i="1"/>
  <c r="M578" i="1"/>
  <c r="O577" i="1" a="1"/>
  <c r="O577" i="1" s="1"/>
  <c r="N577" i="1"/>
  <c r="M577" i="1"/>
  <c r="O576" i="1" a="1"/>
  <c r="O576" i="1" s="1"/>
  <c r="N576" i="1"/>
  <c r="M576" i="1"/>
  <c r="O575" i="1" a="1"/>
  <c r="O575" i="1" s="1"/>
  <c r="N575" i="1"/>
  <c r="M575" i="1"/>
  <c r="O574" i="1" a="1"/>
  <c r="O574" i="1" s="1"/>
  <c r="N574" i="1"/>
  <c r="M574" i="1"/>
  <c r="O573" i="1" a="1"/>
  <c r="O573" i="1" s="1"/>
  <c r="N573" i="1"/>
  <c r="M573" i="1"/>
  <c r="O572" i="1" a="1"/>
  <c r="O572" i="1" s="1"/>
  <c r="N572" i="1"/>
  <c r="M572" i="1"/>
  <c r="O571" i="1" a="1"/>
  <c r="O571" i="1" s="1"/>
  <c r="N571" i="1"/>
  <c r="M571" i="1"/>
  <c r="O570" i="1" a="1"/>
  <c r="O570" i="1" s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 a="1"/>
  <c r="O566" i="1" s="1"/>
  <c r="N566" i="1"/>
  <c r="M566" i="1"/>
  <c r="O565" i="1" a="1"/>
  <c r="O565" i="1" s="1"/>
  <c r="N565" i="1"/>
  <c r="M565" i="1"/>
  <c r="O564" i="1" a="1"/>
  <c r="O564" i="1" s="1"/>
  <c r="N564" i="1"/>
  <c r="M564" i="1"/>
  <c r="O563" i="1" a="1"/>
  <c r="O563" i="1" s="1"/>
  <c r="N563" i="1"/>
  <c r="M563" i="1"/>
  <c r="O562" i="1" a="1"/>
  <c r="O562" i="1" s="1"/>
  <c r="N562" i="1"/>
  <c r="M562" i="1"/>
  <c r="O561" i="1" a="1"/>
  <c r="O561" i="1" s="1"/>
  <c r="N561" i="1"/>
  <c r="M561" i="1"/>
  <c r="O560" i="1" a="1"/>
  <c r="O560" i="1" s="1"/>
  <c r="N560" i="1"/>
  <c r="M560" i="1"/>
  <c r="O559" i="1" a="1"/>
  <c r="O559" i="1" s="1"/>
  <c r="N559" i="1"/>
  <c r="M559" i="1"/>
  <c r="O558" i="1" a="1"/>
  <c r="O558" i="1" s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 a="1"/>
  <c r="O552" i="1" s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 a="1"/>
  <c r="O545" i="1" s="1"/>
  <c r="N545" i="1"/>
  <c r="M545" i="1"/>
  <c r="O544" i="1" a="1"/>
  <c r="O544" i="1" s="1"/>
  <c r="N544" i="1"/>
  <c r="M544" i="1"/>
  <c r="O543" i="1" a="1"/>
  <c r="O543" i="1" s="1"/>
  <c r="N543" i="1"/>
  <c r="M543" i="1"/>
  <c r="O542" i="1" a="1"/>
  <c r="O542" i="1" s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 a="1"/>
  <c r="O538" i="1" s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 a="1"/>
  <c r="O531" i="1" s="1"/>
  <c r="N531" i="1"/>
  <c r="M531" i="1"/>
  <c r="O530" i="1" a="1"/>
  <c r="O530" i="1" s="1"/>
  <c r="N530" i="1"/>
  <c r="M530" i="1"/>
  <c r="O529" i="1" a="1"/>
  <c r="O529" i="1" s="1"/>
  <c r="N529" i="1"/>
  <c r="M529" i="1"/>
  <c r="O528" i="1" a="1"/>
  <c r="O528" i="1" s="1"/>
  <c r="N528" i="1"/>
  <c r="M528" i="1"/>
  <c r="O527" i="1" a="1"/>
  <c r="O527" i="1" s="1"/>
  <c r="N527" i="1"/>
  <c r="M527" i="1"/>
  <c r="O526" i="1" a="1"/>
  <c r="O526" i="1" s="1"/>
  <c r="N526" i="1"/>
  <c r="M526" i="1"/>
  <c r="O525" i="1" a="1"/>
  <c r="O525" i="1" s="1"/>
  <c r="N525" i="1"/>
  <c r="M525" i="1"/>
  <c r="O524" i="1" a="1"/>
  <c r="O524" i="1" s="1"/>
  <c r="N524" i="1"/>
  <c r="M524" i="1"/>
  <c r="O523" i="1" a="1"/>
  <c r="O523" i="1" s="1"/>
  <c r="N523" i="1"/>
  <c r="M523" i="1"/>
  <c r="O522" i="1" a="1"/>
  <c r="O522" i="1" s="1"/>
  <c r="N522" i="1"/>
  <c r="M522" i="1"/>
  <c r="O521" i="1" a="1"/>
  <c r="O521" i="1" s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 a="1"/>
  <c r="O517" i="1" s="1"/>
  <c r="N517" i="1"/>
  <c r="M517" i="1"/>
  <c r="O516" i="1" a="1"/>
  <c r="O516" i="1" s="1"/>
  <c r="N516" i="1"/>
  <c r="M516" i="1"/>
  <c r="O515" i="1" a="1"/>
  <c r="O515" i="1" s="1"/>
  <c r="N515" i="1"/>
  <c r="M515" i="1"/>
  <c r="O514" i="1" a="1"/>
  <c r="O514" i="1" s="1"/>
  <c r="N514" i="1"/>
  <c r="M514" i="1"/>
  <c r="O513" i="1" a="1"/>
  <c r="O513" i="1" s="1"/>
  <c r="N513" i="1"/>
  <c r="M513" i="1"/>
  <c r="O512" i="1" a="1"/>
  <c r="O512" i="1" s="1"/>
  <c r="N512" i="1"/>
  <c r="M512" i="1"/>
  <c r="O511" i="1" a="1"/>
  <c r="O511" i="1" s="1"/>
  <c r="N511" i="1"/>
  <c r="M511" i="1"/>
  <c r="O510" i="1" a="1"/>
  <c r="O510" i="1" s="1"/>
  <c r="N510" i="1"/>
  <c r="M510" i="1"/>
  <c r="O509" i="1" a="1"/>
  <c r="O509" i="1" s="1"/>
  <c r="N509" i="1"/>
  <c r="M509" i="1"/>
  <c r="O508" i="1" a="1"/>
  <c r="O508" i="1" s="1"/>
  <c r="N508" i="1"/>
  <c r="M508" i="1"/>
  <c r="O507" i="1" a="1"/>
  <c r="O507" i="1" s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 a="1"/>
  <c r="O503" i="1" s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 a="1"/>
  <c r="O499" i="1" s="1"/>
  <c r="N499" i="1"/>
  <c r="M499" i="1"/>
  <c r="O498" i="1" a="1"/>
  <c r="O498" i="1" s="1"/>
  <c r="N498" i="1"/>
  <c r="M498" i="1"/>
  <c r="O497" i="1" a="1"/>
  <c r="O497" i="1" s="1"/>
  <c r="N497" i="1"/>
  <c r="M497" i="1"/>
  <c r="O496" i="1" a="1"/>
  <c r="O496" i="1" s="1"/>
  <c r="N496" i="1"/>
  <c r="M496" i="1"/>
  <c r="O495" i="1" a="1"/>
  <c r="O495" i="1" s="1"/>
  <c r="N495" i="1"/>
  <c r="M495" i="1"/>
  <c r="O494" i="1" a="1"/>
  <c r="O494" i="1" s="1"/>
  <c r="N494" i="1"/>
  <c r="M494" i="1"/>
  <c r="O493" i="1" a="1"/>
  <c r="O493" i="1" s="1"/>
  <c r="N493" i="1"/>
  <c r="M493" i="1"/>
  <c r="O492" i="1" a="1"/>
  <c r="O492" i="1" s="1"/>
  <c r="N492" i="1"/>
  <c r="M492" i="1"/>
  <c r="O491" i="1" a="1"/>
  <c r="O491" i="1" s="1"/>
  <c r="N491" i="1"/>
  <c r="M491" i="1"/>
  <c r="O490" i="1" a="1"/>
  <c r="O490" i="1" s="1"/>
  <c r="N490" i="1"/>
  <c r="M490" i="1"/>
  <c r="O489" i="1" a="1"/>
  <c r="O489" i="1" s="1"/>
  <c r="N489" i="1"/>
  <c r="M489" i="1"/>
  <c r="O488" i="1" a="1"/>
  <c r="O488" i="1" s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 a="1"/>
  <c r="O484" i="1" s="1"/>
  <c r="N484" i="1"/>
  <c r="M484" i="1"/>
  <c r="O483" i="1" a="1"/>
  <c r="O483" i="1" s="1"/>
  <c r="N483" i="1"/>
  <c r="M483" i="1"/>
  <c r="O482" i="1" a="1"/>
  <c r="O482" i="1" s="1"/>
  <c r="N482" i="1"/>
  <c r="M482" i="1"/>
  <c r="O481" i="1" a="1"/>
  <c r="O481" i="1" s="1"/>
  <c r="N481" i="1"/>
  <c r="M481" i="1"/>
  <c r="O480" i="1" a="1"/>
  <c r="O480" i="1" s="1"/>
  <c r="N480" i="1"/>
  <c r="M480" i="1"/>
  <c r="O479" i="1" a="1"/>
  <c r="O479" i="1" s="1"/>
  <c r="N479" i="1"/>
  <c r="M479" i="1"/>
  <c r="O478" i="1" a="1"/>
  <c r="O478" i="1" s="1"/>
  <c r="N478" i="1"/>
  <c r="M478" i="1"/>
  <c r="O477" i="1" a="1"/>
  <c r="O477" i="1" s="1"/>
  <c r="N477" i="1"/>
  <c r="M477" i="1"/>
  <c r="O476" i="1" a="1"/>
  <c r="O476" i="1" s="1"/>
  <c r="N476" i="1"/>
  <c r="M476" i="1"/>
  <c r="O475" i="1" a="1"/>
  <c r="O475" i="1" s="1"/>
  <c r="N475" i="1"/>
  <c r="M475" i="1"/>
  <c r="O474" i="1" a="1"/>
  <c r="O474" i="1" s="1"/>
  <c r="N474" i="1"/>
  <c r="M474" i="1"/>
  <c r="O473" i="1" a="1"/>
  <c r="O473" i="1" s="1"/>
  <c r="N473" i="1"/>
  <c r="M473" i="1"/>
  <c r="O472" i="1" a="1"/>
  <c r="O472" i="1" s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 a="1"/>
  <c r="O468" i="1" s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 a="1"/>
  <c r="O457" i="1" s="1"/>
  <c r="N457" i="1"/>
  <c r="M457" i="1"/>
  <c r="O456" i="1" a="1"/>
  <c r="O456" i="1" s="1"/>
  <c r="N456" i="1"/>
  <c r="M456" i="1"/>
  <c r="O455" i="1" a="1"/>
  <c r="O455" i="1" s="1"/>
  <c r="N455" i="1"/>
  <c r="M455" i="1"/>
  <c r="O454" i="1" a="1"/>
  <c r="O454" i="1" s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 a="1"/>
  <c r="O448" i="1" s="1"/>
  <c r="N448" i="1"/>
  <c r="M448" i="1"/>
  <c r="O447" i="1" a="1"/>
  <c r="O447" i="1" s="1"/>
  <c r="N447" i="1"/>
  <c r="M447" i="1"/>
  <c r="O446" i="1" a="1"/>
  <c r="O446" i="1" s="1"/>
  <c r="N446" i="1"/>
  <c r="M446" i="1"/>
  <c r="O445" i="1" a="1"/>
  <c r="O445" i="1" s="1"/>
  <c r="N445" i="1"/>
  <c r="M445" i="1"/>
  <c r="O444" i="1" a="1"/>
  <c r="O444" i="1" s="1"/>
  <c r="N444" i="1"/>
  <c r="M444" i="1"/>
  <c r="O443" i="1" a="1"/>
  <c r="O443" i="1" s="1"/>
  <c r="N443" i="1"/>
  <c r="M443" i="1"/>
  <c r="O442" i="1" a="1"/>
  <c r="O442" i="1" s="1"/>
  <c r="N442" i="1"/>
  <c r="M442" i="1"/>
  <c r="O441" i="1" a="1"/>
  <c r="O441" i="1" s="1"/>
  <c r="N441" i="1"/>
  <c r="M441" i="1"/>
  <c r="O440" i="1" a="1"/>
  <c r="O440" i="1" s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 a="1"/>
  <c r="O433" i="1" s="1"/>
  <c r="N433" i="1"/>
  <c r="M433" i="1"/>
  <c r="O432" i="1" a="1"/>
  <c r="O432" i="1" s="1"/>
  <c r="N432" i="1"/>
  <c r="M432" i="1"/>
  <c r="O431" i="1" a="1"/>
  <c r="O431" i="1" s="1"/>
  <c r="N431" i="1"/>
  <c r="M431" i="1"/>
  <c r="O430" i="1" a="1"/>
  <c r="O430" i="1" s="1"/>
  <c r="N430" i="1"/>
  <c r="M430" i="1"/>
  <c r="O429" i="1" a="1"/>
  <c r="O429" i="1" s="1"/>
  <c r="N429" i="1"/>
  <c r="M429" i="1"/>
  <c r="O428" i="1" a="1"/>
  <c r="O428" i="1" s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 a="1"/>
  <c r="O423" i="1" s="1"/>
  <c r="N423" i="1"/>
  <c r="M423" i="1"/>
  <c r="O422" i="1" a="1"/>
  <c r="O422" i="1" s="1"/>
  <c r="N422" i="1"/>
  <c r="M422" i="1"/>
  <c r="O421" i="1" a="1"/>
  <c r="O421" i="1" s="1"/>
  <c r="N421" i="1"/>
  <c r="M421" i="1"/>
  <c r="O420" i="1" a="1"/>
  <c r="O420" i="1" s="1"/>
  <c r="N420" i="1"/>
  <c r="M420" i="1"/>
  <c r="O419" i="1" a="1"/>
  <c r="O419" i="1" s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 a="1"/>
  <c r="O414" i="1" s="1"/>
  <c r="N414" i="1"/>
  <c r="M414" i="1"/>
  <c r="O413" i="1" a="1"/>
  <c r="O413" i="1" s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 a="1"/>
  <c r="O405" i="1" s="1"/>
  <c r="N405" i="1"/>
  <c r="M405" i="1"/>
  <c r="O404" i="1" a="1"/>
  <c r="O404" i="1" s="1"/>
  <c r="N404" i="1"/>
  <c r="M404" i="1"/>
  <c r="O403" i="1" a="1"/>
  <c r="O403" i="1" s="1"/>
  <c r="N403" i="1"/>
  <c r="M403" i="1"/>
  <c r="O402" i="1" a="1"/>
  <c r="O402" i="1" s="1"/>
  <c r="N402" i="1"/>
  <c r="M402" i="1"/>
  <c r="O401" i="1" a="1"/>
  <c r="O401" i="1" s="1"/>
  <c r="N401" i="1"/>
  <c r="M401" i="1"/>
  <c r="O400" i="1" a="1"/>
  <c r="O400" i="1" s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 a="1"/>
  <c r="O391" i="1" s="1"/>
  <c r="N391" i="1"/>
  <c r="M391" i="1"/>
  <c r="O390" i="1" a="1"/>
  <c r="O390" i="1" s="1"/>
  <c r="N390" i="1"/>
  <c r="M390" i="1"/>
  <c r="O389" i="1" a="1"/>
  <c r="O389" i="1" s="1"/>
  <c r="N389" i="1"/>
  <c r="M389" i="1"/>
  <c r="O388" i="1" a="1"/>
  <c r="O388" i="1" s="1"/>
  <c r="N388" i="1"/>
  <c r="M388" i="1"/>
  <c r="O387" i="1" a="1"/>
  <c r="O387" i="1" s="1"/>
  <c r="N387" i="1"/>
  <c r="M387" i="1"/>
  <c r="O386" i="1" a="1"/>
  <c r="O386" i="1" s="1"/>
  <c r="N386" i="1"/>
  <c r="M386" i="1"/>
  <c r="O385" i="1" a="1"/>
  <c r="O385" i="1" s="1"/>
  <c r="N385" i="1"/>
  <c r="M385" i="1"/>
  <c r="O384" i="1" a="1"/>
  <c r="O384" i="1" s="1"/>
  <c r="N384" i="1"/>
  <c r="M384" i="1"/>
  <c r="O383" i="1" a="1"/>
  <c r="O383" i="1" s="1"/>
  <c r="N383" i="1"/>
  <c r="M383" i="1"/>
  <c r="O382" i="1" a="1"/>
  <c r="O382" i="1" s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 a="1"/>
  <c r="O377" i="1" s="1"/>
  <c r="N377" i="1"/>
  <c r="M377" i="1"/>
  <c r="O376" i="1" a="1"/>
  <c r="O376" i="1" s="1"/>
  <c r="N376" i="1"/>
  <c r="M376" i="1"/>
  <c r="O375" i="1" a="1"/>
  <c r="O375" i="1" s="1"/>
  <c r="N375" i="1"/>
  <c r="M375" i="1"/>
  <c r="O374" i="1" a="1"/>
  <c r="O374" i="1" s="1"/>
  <c r="N374" i="1"/>
  <c r="M374" i="1"/>
  <c r="O373" i="1" a="1"/>
  <c r="O373" i="1" s="1"/>
  <c r="N373" i="1"/>
  <c r="M373" i="1"/>
  <c r="O372" i="1" a="1"/>
  <c r="O372" i="1" s="1"/>
  <c r="N372" i="1"/>
  <c r="M372" i="1"/>
  <c r="O371" i="1" a="1"/>
  <c r="O371" i="1" s="1"/>
  <c r="N371" i="1"/>
  <c r="M371" i="1"/>
  <c r="O370" i="1" a="1"/>
  <c r="O370" i="1" s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 a="1"/>
  <c r="O366" i="1" s="1"/>
  <c r="N366" i="1"/>
  <c r="M366" i="1"/>
  <c r="O365" i="1" a="1"/>
  <c r="O365" i="1" s="1"/>
  <c r="N365" i="1"/>
  <c r="M365" i="1"/>
  <c r="O364" i="1" a="1"/>
  <c r="O364" i="1" s="1"/>
  <c r="N364" i="1"/>
  <c r="M364" i="1"/>
  <c r="O363" i="1" a="1"/>
  <c r="O363" i="1" s="1"/>
  <c r="N363" i="1"/>
  <c r="M363" i="1"/>
  <c r="O362" i="1" a="1"/>
  <c r="O362" i="1" s="1"/>
  <c r="N362" i="1"/>
  <c r="M362" i="1"/>
  <c r="O361" i="1" a="1"/>
  <c r="O361" i="1" s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 a="1"/>
  <c r="O356" i="1" s="1"/>
  <c r="N356" i="1"/>
  <c r="M356" i="1"/>
  <c r="O355" i="1" a="1"/>
  <c r="O355" i="1" s="1"/>
  <c r="N355" i="1"/>
  <c r="M355" i="1"/>
  <c r="O354" i="1" a="1"/>
  <c r="O354" i="1" s="1"/>
  <c r="N354" i="1"/>
  <c r="M354" i="1"/>
  <c r="O353" i="1" a="1"/>
  <c r="O353" i="1" s="1"/>
  <c r="N353" i="1"/>
  <c r="M353" i="1"/>
  <c r="O352" i="1" a="1"/>
  <c r="O352" i="1" s="1"/>
  <c r="N352" i="1"/>
  <c r="M352" i="1"/>
  <c r="O351" i="1" a="1"/>
  <c r="O351" i="1" s="1"/>
  <c r="N351" i="1"/>
  <c r="M351" i="1"/>
  <c r="O350" i="1" a="1"/>
  <c r="O350" i="1" s="1"/>
  <c r="N350" i="1"/>
  <c r="M350" i="1"/>
  <c r="O349" i="1" a="1"/>
  <c r="O349" i="1" s="1"/>
  <c r="N349" i="1"/>
  <c r="M349" i="1"/>
  <c r="O348" i="1" a="1"/>
  <c r="O348" i="1" s="1"/>
  <c r="N348" i="1"/>
  <c r="M348" i="1"/>
  <c r="O347" i="1" a="1"/>
  <c r="O347" i="1" s="1"/>
  <c r="N347" i="1"/>
  <c r="M347" i="1"/>
  <c r="O346" i="1" a="1"/>
  <c r="O346" i="1" s="1"/>
  <c r="N346" i="1"/>
  <c r="M346" i="1"/>
  <c r="O345" i="1" a="1"/>
  <c r="O345" i="1" s="1"/>
  <c r="N345" i="1"/>
  <c r="M345" i="1"/>
  <c r="O344" i="1" a="1"/>
  <c r="O344" i="1" s="1"/>
  <c r="N344" i="1"/>
  <c r="M344" i="1"/>
  <c r="O343" i="1" a="1"/>
  <c r="O343" i="1" s="1"/>
  <c r="N343" i="1"/>
  <c r="M343" i="1"/>
  <c r="O342" i="1" a="1"/>
  <c r="O342" i="1" s="1"/>
  <c r="N342" i="1"/>
  <c r="M342" i="1"/>
  <c r="O341" i="1" a="1"/>
  <c r="O341" i="1" s="1"/>
  <c r="N341" i="1"/>
  <c r="M341" i="1"/>
  <c r="O340" i="1" a="1"/>
  <c r="O340" i="1" s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 a="1"/>
  <c r="O336" i="1" s="1"/>
  <c r="N336" i="1"/>
  <c r="M336" i="1"/>
  <c r="O335" i="1" a="1"/>
  <c r="O335" i="1" s="1"/>
  <c r="N335" i="1"/>
  <c r="M335" i="1"/>
  <c r="O334" i="1" a="1"/>
  <c r="O334" i="1" s="1"/>
  <c r="N334" i="1"/>
  <c r="M334" i="1"/>
  <c r="O333" i="1" a="1"/>
  <c r="O333" i="1" s="1"/>
  <c r="N333" i="1"/>
  <c r="M333" i="1"/>
  <c r="O332" i="1" a="1"/>
  <c r="O332" i="1" s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 a="1"/>
  <c r="O328" i="1" s="1"/>
  <c r="N328" i="1"/>
  <c r="M328" i="1"/>
  <c r="O327" i="1" a="1"/>
  <c r="O327" i="1" s="1"/>
  <c r="N327" i="1"/>
  <c r="M327" i="1"/>
  <c r="O326" i="1" a="1"/>
  <c r="O326" i="1" s="1"/>
  <c r="N326" i="1"/>
  <c r="M326" i="1"/>
  <c r="O325" i="1" a="1"/>
  <c r="O325" i="1" s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 a="1"/>
  <c r="O320" i="1" s="1"/>
  <c r="N320" i="1"/>
  <c r="M320" i="1"/>
  <c r="O319" i="1" a="1"/>
  <c r="O319" i="1" s="1"/>
  <c r="N319" i="1"/>
  <c r="M319" i="1"/>
  <c r="O318" i="1" a="1"/>
  <c r="O318" i="1" s="1"/>
  <c r="N318" i="1"/>
  <c r="M318" i="1"/>
  <c r="O317" i="1" a="1"/>
  <c r="O317" i="1" s="1"/>
  <c r="N317" i="1"/>
  <c r="M317" i="1"/>
  <c r="O316" i="1" a="1"/>
  <c r="O316" i="1" s="1"/>
  <c r="N316" i="1"/>
  <c r="M316" i="1"/>
  <c r="O315" i="1" a="1"/>
  <c r="O315" i="1" s="1"/>
  <c r="N315" i="1"/>
  <c r="M315" i="1"/>
  <c r="O314" i="1" a="1"/>
  <c r="O314" i="1" s="1"/>
  <c r="N314" i="1"/>
  <c r="M314" i="1"/>
  <c r="O313" i="1" a="1"/>
  <c r="O313" i="1" s="1"/>
  <c r="N313" i="1"/>
  <c r="M313" i="1"/>
  <c r="O312" i="1" a="1"/>
  <c r="O312" i="1" s="1"/>
  <c r="N312" i="1"/>
  <c r="M312" i="1"/>
  <c r="O311" i="1" a="1"/>
  <c r="O311" i="1" s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 a="1"/>
  <c r="O304" i="1" s="1"/>
  <c r="N304" i="1"/>
  <c r="M304" i="1"/>
  <c r="O303" i="1" a="1"/>
  <c r="O303" i="1" s="1"/>
  <c r="N303" i="1"/>
  <c r="M303" i="1"/>
  <c r="O302" i="1" a="1"/>
  <c r="O302" i="1" s="1"/>
  <c r="N302" i="1"/>
  <c r="M302" i="1"/>
  <c r="O301" i="1" a="1"/>
  <c r="O301" i="1" s="1"/>
  <c r="N301" i="1"/>
  <c r="M301" i="1"/>
  <c r="O300" i="1" a="1"/>
  <c r="O300" i="1" s="1"/>
  <c r="N300" i="1"/>
  <c r="M300" i="1"/>
  <c r="O299" i="1" a="1"/>
  <c r="O299" i="1" s="1"/>
  <c r="N299" i="1"/>
  <c r="M299" i="1"/>
  <c r="O298" i="1" a="1"/>
  <c r="O298" i="1" s="1"/>
  <c r="N298" i="1"/>
  <c r="M298" i="1"/>
  <c r="O297" i="1" a="1"/>
  <c r="O297" i="1" s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 a="1"/>
  <c r="O293" i="1" s="1"/>
  <c r="N293" i="1"/>
  <c r="M293" i="1"/>
  <c r="O292" i="1" a="1"/>
  <c r="O292" i="1" s="1"/>
  <c r="N292" i="1"/>
  <c r="M292" i="1"/>
  <c r="O291" i="1" a="1"/>
  <c r="O291" i="1" s="1"/>
  <c r="N291" i="1"/>
  <c r="M291" i="1"/>
  <c r="O290" i="1" a="1"/>
  <c r="O290" i="1" s="1"/>
  <c r="N290" i="1"/>
  <c r="M290" i="1"/>
  <c r="O289" i="1" a="1"/>
  <c r="O289" i="1" s="1"/>
  <c r="N289" i="1"/>
  <c r="M289" i="1"/>
  <c r="O288" i="1" a="1"/>
  <c r="O288" i="1" s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 a="1"/>
  <c r="O283" i="1" s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 a="1"/>
  <c r="O278" i="1" s="1"/>
  <c r="N278" i="1"/>
  <c r="M278" i="1"/>
  <c r="O277" i="1" a="1"/>
  <c r="O277" i="1" s="1"/>
  <c r="N277" i="1"/>
  <c r="M277" i="1"/>
  <c r="O276" i="1" a="1"/>
  <c r="O276" i="1" s="1"/>
  <c r="N276" i="1"/>
  <c r="M276" i="1"/>
  <c r="O275" i="1" a="1"/>
  <c r="O275" i="1" s="1"/>
  <c r="N275" i="1"/>
  <c r="M275" i="1"/>
  <c r="O274" i="1" a="1"/>
  <c r="O274" i="1" s="1"/>
  <c r="N274" i="1"/>
  <c r="M274" i="1"/>
  <c r="O273" i="1" a="1"/>
  <c r="O273" i="1" s="1"/>
  <c r="N273" i="1"/>
  <c r="M273" i="1"/>
  <c r="O272" i="1" a="1"/>
  <c r="O272" i="1" s="1"/>
  <c r="N272" i="1"/>
  <c r="M272" i="1"/>
  <c r="O271" i="1" a="1"/>
  <c r="O271" i="1" s="1"/>
  <c r="N271" i="1"/>
  <c r="M271" i="1"/>
  <c r="O270" i="1" a="1"/>
  <c r="O270" i="1" s="1"/>
  <c r="N270" i="1"/>
  <c r="M270" i="1"/>
  <c r="O269" i="1" a="1"/>
  <c r="O269" i="1" s="1"/>
  <c r="N269" i="1"/>
  <c r="M269" i="1"/>
  <c r="O268" i="1" a="1"/>
  <c r="O268" i="1" s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 a="1"/>
  <c r="O262" i="1" s="1"/>
  <c r="N262" i="1"/>
  <c r="M262" i="1"/>
  <c r="O261" i="1" a="1"/>
  <c r="O261" i="1" s="1"/>
  <c r="N261" i="1"/>
  <c r="M261" i="1"/>
  <c r="O260" i="1" a="1"/>
  <c r="O260" i="1" s="1"/>
  <c r="N260" i="1"/>
  <c r="M260" i="1"/>
  <c r="O259" i="1" a="1"/>
  <c r="O259" i="1" s="1"/>
  <c r="N259" i="1"/>
  <c r="M259" i="1"/>
  <c r="O258" i="1" a="1"/>
  <c r="O258" i="1" s="1"/>
  <c r="N258" i="1"/>
  <c r="M258" i="1"/>
  <c r="O257" i="1" a="1"/>
  <c r="O257" i="1" s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 a="1"/>
  <c r="O253" i="1" s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/>
  <c r="O241" i="1" a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 a="1"/>
  <c r="O237" i="1" s="1"/>
  <c r="N237" i="1"/>
  <c r="M237" i="1"/>
  <c r="O236" i="1" a="1"/>
  <c r="O236" i="1" s="1"/>
  <c r="N236" i="1"/>
  <c r="M236" i="1"/>
  <c r="O235" i="1" a="1"/>
  <c r="O235" i="1" s="1"/>
  <c r="N235" i="1"/>
  <c r="M235" i="1"/>
  <c r="O234" i="1" a="1"/>
  <c r="O234" i="1" s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 a="1"/>
  <c r="O220" i="1" s="1"/>
  <c r="N220" i="1"/>
  <c r="M220" i="1"/>
  <c r="O219" i="1" a="1"/>
  <c r="O219" i="1" s="1"/>
  <c r="N219" i="1"/>
  <c r="M219" i="1"/>
  <c r="O218" i="1" a="1"/>
  <c r="O218" i="1" s="1"/>
  <c r="N218" i="1"/>
  <c r="M218" i="1"/>
  <c r="O217" i="1" a="1"/>
  <c r="O217" i="1" s="1"/>
  <c r="N217" i="1"/>
  <c r="M217" i="1"/>
  <c r="O216" i="1" a="1"/>
  <c r="O216" i="1" s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 a="1"/>
  <c r="O205" i="1" s="1"/>
  <c r="N205" i="1"/>
  <c r="M205" i="1"/>
  <c r="O204" i="1" a="1"/>
  <c r="O204" i="1" s="1"/>
  <c r="N204" i="1"/>
  <c r="M204" i="1"/>
  <c r="O203" i="1" a="1"/>
  <c r="O203" i="1" s="1"/>
  <c r="N203" i="1"/>
  <c r="M203" i="1"/>
  <c r="O202" i="1" a="1"/>
  <c r="O202" i="1" s="1"/>
  <c r="N202" i="1"/>
  <c r="M202" i="1"/>
  <c r="O201" i="1" a="1"/>
  <c r="O201" i="1" s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 a="1"/>
  <c r="O195" i="1" s="1"/>
  <c r="N195" i="1"/>
  <c r="M195" i="1"/>
  <c r="O194" i="1" a="1"/>
  <c r="O194" i="1" s="1"/>
  <c r="N194" i="1"/>
  <c r="M194" i="1"/>
  <c r="O193" i="1" a="1"/>
  <c r="O193" i="1" s="1"/>
  <c r="N193" i="1"/>
  <c r="M193" i="1"/>
  <c r="O192" i="1" a="1"/>
  <c r="O192" i="1" s="1"/>
  <c r="N192" i="1"/>
  <c r="M192" i="1"/>
  <c r="O191" i="1" a="1"/>
  <c r="O191" i="1" s="1"/>
  <c r="N191" i="1"/>
  <c r="M191" i="1"/>
  <c r="O190" i="1" a="1"/>
  <c r="O190" i="1" s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 a="1"/>
  <c r="O185" i="1" s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 a="1"/>
  <c r="O180" i="1" s="1"/>
  <c r="N180" i="1"/>
  <c r="M180" i="1"/>
  <c r="O179" i="1" a="1"/>
  <c r="O179" i="1" s="1"/>
  <c r="N179" i="1"/>
  <c r="M179" i="1"/>
  <c r="O178" i="1" a="1"/>
  <c r="O178" i="1" s="1"/>
  <c r="N178" i="1"/>
  <c r="M178" i="1"/>
  <c r="O177" i="1" a="1"/>
  <c r="O177" i="1" s="1"/>
  <c r="N177" i="1"/>
  <c r="M177" i="1"/>
  <c r="O176" i="1" a="1"/>
  <c r="O176" i="1" s="1"/>
  <c r="N176" i="1"/>
  <c r="M176" i="1"/>
  <c r="O175" i="1" a="1"/>
  <c r="O175" i="1" s="1"/>
  <c r="N175" i="1"/>
  <c r="M175" i="1"/>
  <c r="O174" i="1" a="1"/>
  <c r="O174" i="1" s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 a="1"/>
  <c r="O170" i="1" s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 a="1"/>
  <c r="O162" i="1" s="1"/>
  <c r="N162" i="1"/>
  <c r="M162" i="1"/>
  <c r="O161" i="1" a="1"/>
  <c r="O161" i="1" s="1"/>
  <c r="N161" i="1"/>
  <c r="M161" i="1"/>
  <c r="O160" i="1" a="1"/>
  <c r="O160" i="1" s="1"/>
  <c r="N160" i="1"/>
  <c r="M160" i="1"/>
  <c r="O159" i="1" a="1"/>
  <c r="O159" i="1" s="1"/>
  <c r="N159" i="1"/>
  <c r="M159" i="1"/>
  <c r="O158" i="1" a="1"/>
  <c r="O158" i="1" s="1"/>
  <c r="N158" i="1"/>
  <c r="M158" i="1"/>
  <c r="O157" i="1" a="1"/>
  <c r="O157" i="1" s="1"/>
  <c r="N157" i="1"/>
  <c r="M157" i="1"/>
  <c r="O156" i="1" a="1"/>
  <c r="O156" i="1" s="1"/>
  <c r="N156" i="1"/>
  <c r="M156" i="1"/>
  <c r="O155" i="1" a="1"/>
  <c r="O155" i="1" s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 a="1"/>
  <c r="O142" i="1" s="1"/>
  <c r="N142" i="1"/>
  <c r="M142" i="1"/>
  <c r="O141" i="1" a="1"/>
  <c r="O141" i="1" s="1"/>
  <c r="N141" i="1"/>
  <c r="M141" i="1"/>
  <c r="O140" i="1" a="1"/>
  <c r="O140" i="1" s="1"/>
  <c r="N140" i="1"/>
  <c r="M140" i="1"/>
  <c r="O139" i="1" a="1"/>
  <c r="O139" i="1" s="1"/>
  <c r="N139" i="1"/>
  <c r="M139" i="1"/>
  <c r="O138" i="1" a="1"/>
  <c r="O138" i="1" s="1"/>
  <c r="N138" i="1"/>
  <c r="M138" i="1"/>
  <c r="O137" i="1" a="1"/>
  <c r="O137" i="1" s="1"/>
  <c r="N137" i="1"/>
  <c r="M137" i="1"/>
  <c r="O136" i="1" a="1"/>
  <c r="O136" i="1" s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 a="1"/>
  <c r="O127" i="1" s="1"/>
  <c r="N127" i="1"/>
  <c r="M127" i="1"/>
  <c r="O126" i="1" a="1"/>
  <c r="O126" i="1" s="1"/>
  <c r="N126" i="1"/>
  <c r="M126" i="1"/>
  <c r="O125" i="1" a="1"/>
  <c r="O125" i="1" s="1"/>
  <c r="N125" i="1"/>
  <c r="M125" i="1"/>
  <c r="O124" i="1" a="1"/>
  <c r="O124" i="1" s="1"/>
  <c r="N124" i="1"/>
  <c r="M124" i="1"/>
  <c r="O123" i="1" a="1"/>
  <c r="O123" i="1" s="1"/>
  <c r="N123" i="1"/>
  <c r="M123" i="1"/>
  <c r="O122" i="1" a="1"/>
  <c r="O122" i="1" s="1"/>
  <c r="N122" i="1"/>
  <c r="M122" i="1"/>
  <c r="O121" i="1" a="1"/>
  <c r="O121" i="1" s="1"/>
  <c r="N121" i="1"/>
  <c r="M121" i="1"/>
  <c r="O120" i="1" a="1"/>
  <c r="O120" i="1" s="1"/>
  <c r="N120" i="1"/>
  <c r="M120" i="1"/>
  <c r="O119" i="1" a="1"/>
  <c r="O119" i="1" s="1"/>
  <c r="N119" i="1"/>
  <c r="M119" i="1"/>
  <c r="O118" i="1" a="1"/>
  <c r="O118" i="1" s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 a="1"/>
  <c r="O107" i="1" s="1"/>
  <c r="N107" i="1"/>
  <c r="M107" i="1"/>
  <c r="O106" i="1" a="1"/>
  <c r="O106" i="1" s="1"/>
  <c r="N106" i="1"/>
  <c r="M106" i="1"/>
  <c r="O105" i="1" a="1"/>
  <c r="O105" i="1" s="1"/>
  <c r="N105" i="1"/>
  <c r="M105" i="1"/>
  <c r="O104" i="1" a="1"/>
  <c r="O104" i="1" s="1"/>
  <c r="N104" i="1"/>
  <c r="M104" i="1"/>
  <c r="O103" i="1" a="1"/>
  <c r="O103" i="1" s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 a="1"/>
  <c r="O97" i="1" s="1"/>
  <c r="N97" i="1"/>
  <c r="M97" i="1"/>
  <c r="O96" i="1" a="1"/>
  <c r="O96" i="1" s="1"/>
  <c r="N96" i="1"/>
  <c r="M96" i="1"/>
  <c r="O95" i="1" a="1"/>
  <c r="O95" i="1" s="1"/>
  <c r="N95" i="1"/>
  <c r="M95" i="1"/>
  <c r="O94" i="1" a="1"/>
  <c r="O94" i="1" s="1"/>
  <c r="N94" i="1"/>
  <c r="M94" i="1"/>
  <c r="O93" i="1" a="1"/>
  <c r="O93" i="1" s="1"/>
  <c r="N93" i="1"/>
  <c r="M93" i="1"/>
  <c r="O92" i="1" a="1"/>
  <c r="O92" i="1" s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 a="1"/>
  <c r="O87" i="1" s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 a="1"/>
  <c r="O82" i="1" s="1"/>
  <c r="N82" i="1"/>
  <c r="M82" i="1"/>
  <c r="O81" i="1" a="1"/>
  <c r="O81" i="1" s="1"/>
  <c r="N81" i="1"/>
  <c r="M81" i="1"/>
  <c r="O80" i="1" a="1"/>
  <c r="O80" i="1" s="1"/>
  <c r="N80" i="1"/>
  <c r="M80" i="1"/>
  <c r="O79" i="1" a="1"/>
  <c r="O79" i="1" s="1"/>
  <c r="N79" i="1"/>
  <c r="M79" i="1"/>
  <c r="O78" i="1" a="1"/>
  <c r="O78" i="1" s="1"/>
  <c r="N78" i="1"/>
  <c r="M78" i="1"/>
  <c r="O77" i="1" a="1"/>
  <c r="O77" i="1" s="1"/>
  <c r="N77" i="1"/>
  <c r="M77" i="1"/>
  <c r="O76" i="1" a="1"/>
  <c r="O76" i="1" s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 a="1"/>
  <c r="O72" i="1" s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 a="1"/>
  <c r="O64" i="1" s="1"/>
  <c r="N64" i="1"/>
  <c r="M64" i="1"/>
  <c r="O63" i="1" a="1"/>
  <c r="O63" i="1" s="1"/>
  <c r="N63" i="1"/>
  <c r="M63" i="1"/>
  <c r="O62" i="1" a="1"/>
  <c r="O62" i="1" s="1"/>
  <c r="N62" i="1"/>
  <c r="M62" i="1"/>
  <c r="O61" i="1" a="1"/>
  <c r="O61" i="1" s="1"/>
  <c r="N61" i="1"/>
  <c r="M61" i="1"/>
  <c r="O60" i="1" a="1"/>
  <c r="O60" i="1" s="1"/>
  <c r="N60" i="1"/>
  <c r="M60" i="1"/>
  <c r="O59" i="1" a="1"/>
  <c r="O59" i="1" s="1"/>
  <c r="N59" i="1"/>
  <c r="M59" i="1"/>
  <c r="O58" i="1" a="1"/>
  <c r="O58" i="1" s="1"/>
  <c r="N58" i="1"/>
  <c r="M58" i="1"/>
  <c r="O57" i="1" a="1"/>
  <c r="O57" i="1" s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 a="1"/>
  <c r="O44" i="1" s="1"/>
  <c r="N44" i="1"/>
  <c r="M44" i="1"/>
  <c r="O43" i="1" a="1"/>
  <c r="O43" i="1" s="1"/>
  <c r="N43" i="1"/>
  <c r="M43" i="1"/>
  <c r="O42" i="1" a="1"/>
  <c r="O42" i="1" s="1"/>
  <c r="N42" i="1"/>
  <c r="M42" i="1"/>
  <c r="O41" i="1" a="1"/>
  <c r="O41" i="1" s="1"/>
  <c r="N41" i="1"/>
  <c r="M41" i="1"/>
  <c r="O40" i="1" a="1"/>
  <c r="O40" i="1" s="1"/>
  <c r="N40" i="1"/>
  <c r="M40" i="1"/>
  <c r="O39" i="1" a="1"/>
  <c r="O39" i="1" s="1"/>
  <c r="N39" i="1"/>
  <c r="M39" i="1"/>
  <c r="O38" i="1" a="1"/>
  <c r="O38" i="1" s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 a="1"/>
  <c r="O29" i="1" s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 a="1"/>
  <c r="O24" i="1" s="1"/>
  <c r="N24" i="1"/>
  <c r="M24" i="1"/>
  <c r="O23" i="1" a="1"/>
  <c r="O23" i="1" s="1"/>
  <c r="N23" i="1"/>
  <c r="M23" i="1"/>
  <c r="O22" i="1" a="1"/>
  <c r="O22" i="1" s="1"/>
  <c r="N22" i="1"/>
  <c r="M22" i="1"/>
  <c r="O21" i="1" a="1"/>
  <c r="O21" i="1" s="1"/>
  <c r="N21" i="1"/>
  <c r="M21" i="1"/>
  <c r="O20" i="1" a="1"/>
  <c r="O20" i="1" s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 a="1"/>
  <c r="O9" i="1" s="1"/>
  <c r="N9" i="1"/>
  <c r="M9" i="1"/>
  <c r="O8" i="1" a="1"/>
  <c r="O8" i="1" s="1"/>
  <c r="N8" i="1"/>
  <c r="M8" i="1"/>
  <c r="O7" i="1"/>
  <c r="O7" i="1" a="1"/>
  <c r="N7" i="1"/>
  <c r="M7" i="1"/>
  <c r="O6" i="1" a="1"/>
  <c r="O6" i="1" s="1"/>
  <c r="N6" i="1"/>
  <c r="M6" i="1"/>
  <c r="O5" i="1" a="1"/>
  <c r="O5" i="1" s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<sst xmlns="http://schemas.openxmlformats.org/spreadsheetml/2006/main" count="9195" uniqueCount="1622">
  <si>
    <t>Listing_iD</t>
  </si>
  <si>
    <t>Location</t>
  </si>
  <si>
    <t>Locality</t>
  </si>
  <si>
    <t>BHK</t>
  </si>
  <si>
    <t>Size</t>
  </si>
  <si>
    <t>Price</t>
  </si>
  <si>
    <t>Bathroom</t>
  </si>
  <si>
    <t>Balcony</t>
  </si>
  <si>
    <t>Furnished</t>
  </si>
  <si>
    <t>Transaction</t>
  </si>
  <si>
    <t>Seller_Type</t>
  </si>
  <si>
    <t>Listing_Date</t>
  </si>
  <si>
    <t>Month</t>
  </si>
  <si>
    <t>Price Per SQFT</t>
  </si>
  <si>
    <t>Commission</t>
  </si>
  <si>
    <t>MB101370</t>
  </si>
  <si>
    <t>Ahmedabad</t>
  </si>
  <si>
    <t>Malviya Nagar</t>
  </si>
  <si>
    <t>Unfurnished</t>
  </si>
  <si>
    <t>New</t>
  </si>
  <si>
    <t>Broker</t>
  </si>
  <si>
    <t>MB100636</t>
  </si>
  <si>
    <t>Bopal</t>
  </si>
  <si>
    <t>Resale</t>
  </si>
  <si>
    <t>Builder</t>
  </si>
  <si>
    <t>MB100942</t>
  </si>
  <si>
    <t>Gota</t>
  </si>
  <si>
    <t>Semi furnished</t>
  </si>
  <si>
    <t>MB101172</t>
  </si>
  <si>
    <t>SG Highway</t>
  </si>
  <si>
    <t>MB101292</t>
  </si>
  <si>
    <t>Maninagar</t>
  </si>
  <si>
    <t>MB101293</t>
  </si>
  <si>
    <t>MB101294</t>
  </si>
  <si>
    <t>MB101295</t>
  </si>
  <si>
    <t>Thaltei</t>
  </si>
  <si>
    <t>Owner</t>
  </si>
  <si>
    <t>MB101296</t>
  </si>
  <si>
    <t>MB101297</t>
  </si>
  <si>
    <t>MB101298</t>
  </si>
  <si>
    <t>MB101299</t>
  </si>
  <si>
    <t>MB101300</t>
  </si>
  <si>
    <t>MB101301</t>
  </si>
  <si>
    <t>MB101302</t>
  </si>
  <si>
    <t>MB101303</t>
  </si>
  <si>
    <t>MB101304</t>
  </si>
  <si>
    <t>MB101305</t>
  </si>
  <si>
    <t>MB101306</t>
  </si>
  <si>
    <t>MB101307</t>
  </si>
  <si>
    <t>MB101308</t>
  </si>
  <si>
    <t>MB101309</t>
  </si>
  <si>
    <t>MB101310</t>
  </si>
  <si>
    <t>MB101311</t>
  </si>
  <si>
    <t>Naranpura</t>
  </si>
  <si>
    <t>MB101312</t>
  </si>
  <si>
    <t>MB101313</t>
  </si>
  <si>
    <t>MB101314</t>
  </si>
  <si>
    <t>MB101315</t>
  </si>
  <si>
    <t>MB101316</t>
  </si>
  <si>
    <t>MB101317</t>
  </si>
  <si>
    <t>MB101318</t>
  </si>
  <si>
    <t>MB101319</t>
  </si>
  <si>
    <t>MB101320</t>
  </si>
  <si>
    <t>MB101321</t>
  </si>
  <si>
    <t>MB101322</t>
  </si>
  <si>
    <t>MB101323</t>
  </si>
  <si>
    <t>MB101324</t>
  </si>
  <si>
    <t>Semi Furnished</t>
  </si>
  <si>
    <t>MB101325</t>
  </si>
  <si>
    <t>MB101326</t>
  </si>
  <si>
    <t>MB101327</t>
  </si>
  <si>
    <t>MB101328</t>
  </si>
  <si>
    <t>MB101329</t>
  </si>
  <si>
    <t>MB101330</t>
  </si>
  <si>
    <t>MB101331</t>
  </si>
  <si>
    <t>MB101332</t>
  </si>
  <si>
    <t>MB101333</t>
  </si>
  <si>
    <t>MB101334</t>
  </si>
  <si>
    <t>MB101335</t>
  </si>
  <si>
    <t>MB101336</t>
  </si>
  <si>
    <t>MB101337</t>
  </si>
  <si>
    <t>MB101338</t>
  </si>
  <si>
    <t>MB101339</t>
  </si>
  <si>
    <t>MB101340</t>
  </si>
  <si>
    <t>MB101341</t>
  </si>
  <si>
    <t>MB101342</t>
  </si>
  <si>
    <t>MB101343</t>
  </si>
  <si>
    <t>MB101344</t>
  </si>
  <si>
    <t>MB101345</t>
  </si>
  <si>
    <t>MB101346</t>
  </si>
  <si>
    <t>MB101347</t>
  </si>
  <si>
    <t>MB101348</t>
  </si>
  <si>
    <t>MB101349</t>
  </si>
  <si>
    <t>MB101350</t>
  </si>
  <si>
    <t>MB101351</t>
  </si>
  <si>
    <t>MB101352</t>
  </si>
  <si>
    <t>MB101353</t>
  </si>
  <si>
    <t>MB101354</t>
  </si>
  <si>
    <t>MB101355</t>
  </si>
  <si>
    <t>MB101356</t>
  </si>
  <si>
    <t>MB101357</t>
  </si>
  <si>
    <t>MB101358</t>
  </si>
  <si>
    <t>MB101359</t>
  </si>
  <si>
    <t>MB101360</t>
  </si>
  <si>
    <t>MB101361</t>
  </si>
  <si>
    <t>MB101362</t>
  </si>
  <si>
    <t>MB101363</t>
  </si>
  <si>
    <t>MB101364</t>
  </si>
  <si>
    <t>MB101365</t>
  </si>
  <si>
    <t>MB101366</t>
  </si>
  <si>
    <t>MB101367</t>
  </si>
  <si>
    <t>MB101368</t>
  </si>
  <si>
    <t>MB101369</t>
  </si>
  <si>
    <t>MB101371</t>
  </si>
  <si>
    <t>MB101372</t>
  </si>
  <si>
    <t>MB101373</t>
  </si>
  <si>
    <t>MB101374</t>
  </si>
  <si>
    <t>MB101375</t>
  </si>
  <si>
    <t>MB101376</t>
  </si>
  <si>
    <t>MB101377</t>
  </si>
  <si>
    <t>MB101378</t>
  </si>
  <si>
    <t>MB101379</t>
  </si>
  <si>
    <t>MB101380</t>
  </si>
  <si>
    <t>MB101381</t>
  </si>
  <si>
    <t>MB101382</t>
  </si>
  <si>
    <t>MB101383</t>
  </si>
  <si>
    <t>MB101384</t>
  </si>
  <si>
    <t>MB101385</t>
  </si>
  <si>
    <t>MB101386</t>
  </si>
  <si>
    <t>MB101387</t>
  </si>
  <si>
    <t>MB101388</t>
  </si>
  <si>
    <t>MB101389</t>
  </si>
  <si>
    <t>MB101390</t>
  </si>
  <si>
    <t>MB101391</t>
  </si>
  <si>
    <t>MB101392</t>
  </si>
  <si>
    <t>MB101393</t>
  </si>
  <si>
    <t>MB101394</t>
  </si>
  <si>
    <t>MB101395</t>
  </si>
  <si>
    <t>MB101396</t>
  </si>
  <si>
    <t>MB101397</t>
  </si>
  <si>
    <t>MB101398</t>
  </si>
  <si>
    <t>MB101399</t>
  </si>
  <si>
    <t>MB101400</t>
  </si>
  <si>
    <t>MB101401</t>
  </si>
  <si>
    <t>MB101402</t>
  </si>
  <si>
    <t>MB101403</t>
  </si>
  <si>
    <t>MB101404</t>
  </si>
  <si>
    <t>MB101405</t>
  </si>
  <si>
    <t>MB101406</t>
  </si>
  <si>
    <t>MB101407</t>
  </si>
  <si>
    <t>MB101408</t>
  </si>
  <si>
    <t>MB101409</t>
  </si>
  <si>
    <t>MB101410</t>
  </si>
  <si>
    <t>MB101411</t>
  </si>
  <si>
    <t>MB101412</t>
  </si>
  <si>
    <t>MB101413</t>
  </si>
  <si>
    <t>MB101414</t>
  </si>
  <si>
    <t>MB101415</t>
  </si>
  <si>
    <t>MB101416</t>
  </si>
  <si>
    <t>MB101417</t>
  </si>
  <si>
    <t>MB101418</t>
  </si>
  <si>
    <t>MB101419</t>
  </si>
  <si>
    <t>MB101420</t>
  </si>
  <si>
    <t>MB101421</t>
  </si>
  <si>
    <t>MB101422</t>
  </si>
  <si>
    <t>MB101423</t>
  </si>
  <si>
    <t>MB101424</t>
  </si>
  <si>
    <t>MB101425</t>
  </si>
  <si>
    <t>MB101426</t>
  </si>
  <si>
    <t>MB101427</t>
  </si>
  <si>
    <t>MB101428</t>
  </si>
  <si>
    <t>MB101429</t>
  </si>
  <si>
    <t>MB101430</t>
  </si>
  <si>
    <t>MB101431</t>
  </si>
  <si>
    <t>MB101432</t>
  </si>
  <si>
    <t>MB101433</t>
  </si>
  <si>
    <t>MB101434</t>
  </si>
  <si>
    <t>MB101435</t>
  </si>
  <si>
    <t>MB101436</t>
  </si>
  <si>
    <t>MB101437</t>
  </si>
  <si>
    <t>Bangalore</t>
  </si>
  <si>
    <t>indiranagar</t>
  </si>
  <si>
    <t>MB101438</t>
  </si>
  <si>
    <t>Yelahanka</t>
  </si>
  <si>
    <t>MB101439</t>
  </si>
  <si>
    <t>HSR Layout</t>
  </si>
  <si>
    <t>MB101440</t>
  </si>
  <si>
    <t>Electronic City</t>
  </si>
  <si>
    <t>MB101441</t>
  </si>
  <si>
    <t>MB101442</t>
  </si>
  <si>
    <t>MB101443</t>
  </si>
  <si>
    <t>MB101444</t>
  </si>
  <si>
    <t>Whitefield</t>
  </si>
  <si>
    <t>MB101445</t>
  </si>
  <si>
    <t>MB101446</t>
  </si>
  <si>
    <t>MB101447</t>
  </si>
  <si>
    <t>MB101448</t>
  </si>
  <si>
    <t>Koramangala</t>
  </si>
  <si>
    <t>MB101449</t>
  </si>
  <si>
    <t>MB101450</t>
  </si>
  <si>
    <t>MB101451</t>
  </si>
  <si>
    <t>MB101452</t>
  </si>
  <si>
    <t>MB101453</t>
  </si>
  <si>
    <t>MB101454</t>
  </si>
  <si>
    <t>MB101455</t>
  </si>
  <si>
    <t>MB101456</t>
  </si>
  <si>
    <t>MB101457</t>
  </si>
  <si>
    <t>MB101458</t>
  </si>
  <si>
    <t>MB101459</t>
  </si>
  <si>
    <t>MB101460</t>
  </si>
  <si>
    <t>MB101461</t>
  </si>
  <si>
    <t>MB101462</t>
  </si>
  <si>
    <t>MB101463</t>
  </si>
  <si>
    <t>MB101464</t>
  </si>
  <si>
    <t>MB101465</t>
  </si>
  <si>
    <t>MB101466</t>
  </si>
  <si>
    <t>MB101467</t>
  </si>
  <si>
    <t>MB101468</t>
  </si>
  <si>
    <t>MB101469</t>
  </si>
  <si>
    <t>MB101470</t>
  </si>
  <si>
    <t>MB101471</t>
  </si>
  <si>
    <t>MB101472</t>
  </si>
  <si>
    <t>MB101473</t>
  </si>
  <si>
    <t>MB101474</t>
  </si>
  <si>
    <t>MB101475</t>
  </si>
  <si>
    <t>MB101476</t>
  </si>
  <si>
    <t>MB101477</t>
  </si>
  <si>
    <t>MB101478</t>
  </si>
  <si>
    <t>MB101479</t>
  </si>
  <si>
    <t>MB101480</t>
  </si>
  <si>
    <t>MB101481</t>
  </si>
  <si>
    <t>MB101482</t>
  </si>
  <si>
    <t>MB101483</t>
  </si>
  <si>
    <t>MB101484</t>
  </si>
  <si>
    <t>MB101485</t>
  </si>
  <si>
    <t>MB101486</t>
  </si>
  <si>
    <t>MB101487</t>
  </si>
  <si>
    <t>MB101488</t>
  </si>
  <si>
    <t>MB101489</t>
  </si>
  <si>
    <t>MB101490</t>
  </si>
  <si>
    <t>MB101491</t>
  </si>
  <si>
    <t>MB101492</t>
  </si>
  <si>
    <t>MB101493</t>
  </si>
  <si>
    <t>MB101494</t>
  </si>
  <si>
    <t>MB101495</t>
  </si>
  <si>
    <t>MB101496</t>
  </si>
  <si>
    <t>MB101497</t>
  </si>
  <si>
    <t>MB101498</t>
  </si>
  <si>
    <t>MB101499</t>
  </si>
  <si>
    <t>MB101500</t>
  </si>
  <si>
    <t>MB101501</t>
  </si>
  <si>
    <t>MB101502</t>
  </si>
  <si>
    <t>MB101503</t>
  </si>
  <si>
    <t>MB101504</t>
  </si>
  <si>
    <t>MB101505</t>
  </si>
  <si>
    <t>MB101506</t>
  </si>
  <si>
    <t>MB101507</t>
  </si>
  <si>
    <t>MB101508</t>
  </si>
  <si>
    <t>MB101509</t>
  </si>
  <si>
    <t>MB101510</t>
  </si>
  <si>
    <t>MB101511</t>
  </si>
  <si>
    <t>MB101512</t>
  </si>
  <si>
    <t>MB101513</t>
  </si>
  <si>
    <t>MB101514</t>
  </si>
  <si>
    <t>MB101515</t>
  </si>
  <si>
    <t>MB101516</t>
  </si>
  <si>
    <t>MB101517</t>
  </si>
  <si>
    <t>MB101518</t>
  </si>
  <si>
    <t>MB101519</t>
  </si>
  <si>
    <t>MB101520</t>
  </si>
  <si>
    <t>MB101521</t>
  </si>
  <si>
    <t>MB101522</t>
  </si>
  <si>
    <t>MB101523</t>
  </si>
  <si>
    <t>MB101524</t>
  </si>
  <si>
    <t>MB101525</t>
  </si>
  <si>
    <t>MB101526</t>
  </si>
  <si>
    <t>MB101527</t>
  </si>
  <si>
    <t>MB101528</t>
  </si>
  <si>
    <t>MB101529</t>
  </si>
  <si>
    <t>MB101530</t>
  </si>
  <si>
    <t>MB101531</t>
  </si>
  <si>
    <t>MB101532</t>
  </si>
  <si>
    <t>MB101533</t>
  </si>
  <si>
    <t>MB101534</t>
  </si>
  <si>
    <t>MB101535</t>
  </si>
  <si>
    <t>MB101536</t>
  </si>
  <si>
    <t>MB101537</t>
  </si>
  <si>
    <t>MB101538</t>
  </si>
  <si>
    <t>MB101539</t>
  </si>
  <si>
    <t>MB101540</t>
  </si>
  <si>
    <t>MB101541</t>
  </si>
  <si>
    <t>MB101542</t>
  </si>
  <si>
    <t>MB101543</t>
  </si>
  <si>
    <t>MB101544</t>
  </si>
  <si>
    <t>MB101545</t>
  </si>
  <si>
    <t>MB101546</t>
  </si>
  <si>
    <t>MB101547</t>
  </si>
  <si>
    <t>MB101548</t>
  </si>
  <si>
    <t>MB101549</t>
  </si>
  <si>
    <t>MB101550</t>
  </si>
  <si>
    <t>MB101551</t>
  </si>
  <si>
    <t>MB101552</t>
  </si>
  <si>
    <t>MB101553</t>
  </si>
  <si>
    <t>MB101554</t>
  </si>
  <si>
    <t>MB101555</t>
  </si>
  <si>
    <t>MB101556</t>
  </si>
  <si>
    <t>MB101557</t>
  </si>
  <si>
    <t>MB101558</t>
  </si>
  <si>
    <t>MB101559</t>
  </si>
  <si>
    <t>MB101560</t>
  </si>
  <si>
    <t>MB101561</t>
  </si>
  <si>
    <t>MB101562</t>
  </si>
  <si>
    <t>MB101563</t>
  </si>
  <si>
    <t>MB101564</t>
  </si>
  <si>
    <t>MB101565</t>
  </si>
  <si>
    <t>MB101566</t>
  </si>
  <si>
    <t>MB101567</t>
  </si>
  <si>
    <t>MB101568</t>
  </si>
  <si>
    <t>MB101569</t>
  </si>
  <si>
    <t>MB101570</t>
  </si>
  <si>
    <t>MB101571</t>
  </si>
  <si>
    <t>MB101572</t>
  </si>
  <si>
    <t>MB101573</t>
  </si>
  <si>
    <t>MB101574</t>
  </si>
  <si>
    <t>MB101575</t>
  </si>
  <si>
    <t>MB101576</t>
  </si>
  <si>
    <t>MB101577</t>
  </si>
  <si>
    <t>MB101578</t>
  </si>
  <si>
    <t>MB101579</t>
  </si>
  <si>
    <t>Chennai</t>
  </si>
  <si>
    <t>Anna Nagar</t>
  </si>
  <si>
    <t>MB101580</t>
  </si>
  <si>
    <t>Adyar</t>
  </si>
  <si>
    <t>MB101581</t>
  </si>
  <si>
    <t>MB101582</t>
  </si>
  <si>
    <t>MB101583</t>
  </si>
  <si>
    <t>Velachery</t>
  </si>
  <si>
    <t>MB101584</t>
  </si>
  <si>
    <t>MB101585</t>
  </si>
  <si>
    <t>Chromepet</t>
  </si>
  <si>
    <t>MB101586</t>
  </si>
  <si>
    <t>MB101587</t>
  </si>
  <si>
    <t>MB101588</t>
  </si>
  <si>
    <t>MB101589</t>
  </si>
  <si>
    <t>MB101590</t>
  </si>
  <si>
    <t>MB101591</t>
  </si>
  <si>
    <t>MB101592</t>
  </si>
  <si>
    <t>MB101593</t>
  </si>
  <si>
    <t>MB101594</t>
  </si>
  <si>
    <t>MB101595</t>
  </si>
  <si>
    <t>MB101596</t>
  </si>
  <si>
    <t>Tambaram</t>
  </si>
  <si>
    <t>MB101597</t>
  </si>
  <si>
    <t>MB101598</t>
  </si>
  <si>
    <t>MB101599</t>
  </si>
  <si>
    <t>MB101600</t>
  </si>
  <si>
    <t>MB101601</t>
  </si>
  <si>
    <t>MB101602</t>
  </si>
  <si>
    <t>OMR</t>
  </si>
  <si>
    <t>MB101603</t>
  </si>
  <si>
    <t>MB101604</t>
  </si>
  <si>
    <t>MB101605</t>
  </si>
  <si>
    <t>MB101606</t>
  </si>
  <si>
    <t>MB101607</t>
  </si>
  <si>
    <t>MB101608</t>
  </si>
  <si>
    <t>MB101609</t>
  </si>
  <si>
    <t>MB101610</t>
  </si>
  <si>
    <t>MB101611</t>
  </si>
  <si>
    <t>MB101612</t>
  </si>
  <si>
    <t>MB101613</t>
  </si>
  <si>
    <t>MB101614</t>
  </si>
  <si>
    <t>MB101615</t>
  </si>
  <si>
    <t>MB101616</t>
  </si>
  <si>
    <t>MB101617</t>
  </si>
  <si>
    <t>MB101618</t>
  </si>
  <si>
    <t>MB101619</t>
  </si>
  <si>
    <t>MB101620</t>
  </si>
  <si>
    <t>MB101621</t>
  </si>
  <si>
    <t>MB101622</t>
  </si>
  <si>
    <t>MB101623</t>
  </si>
  <si>
    <t>MB101624</t>
  </si>
  <si>
    <t>MB101625</t>
  </si>
  <si>
    <t>MB101626</t>
  </si>
  <si>
    <t>MB101627</t>
  </si>
  <si>
    <t>MB101628</t>
  </si>
  <si>
    <t>MB101629</t>
  </si>
  <si>
    <t>MB101630</t>
  </si>
  <si>
    <t>MB101631</t>
  </si>
  <si>
    <t>MB101632</t>
  </si>
  <si>
    <t>MB101633</t>
  </si>
  <si>
    <t>MB101634</t>
  </si>
  <si>
    <t>MB101635</t>
  </si>
  <si>
    <t>MB101636</t>
  </si>
  <si>
    <t>MB101637</t>
  </si>
  <si>
    <t>MB101638</t>
  </si>
  <si>
    <t>MB101639</t>
  </si>
  <si>
    <t>MB101640</t>
  </si>
  <si>
    <t>MB101641</t>
  </si>
  <si>
    <t>MB101642</t>
  </si>
  <si>
    <t>MB101643</t>
  </si>
  <si>
    <t>MB101644</t>
  </si>
  <si>
    <t>MB101645</t>
  </si>
  <si>
    <t>MB101646</t>
  </si>
  <si>
    <t>MB101647</t>
  </si>
  <si>
    <t>MB101648</t>
  </si>
  <si>
    <t>MB101649</t>
  </si>
  <si>
    <t>MB101650</t>
  </si>
  <si>
    <t>MB101651</t>
  </si>
  <si>
    <t>MB101652</t>
  </si>
  <si>
    <t>MB101653</t>
  </si>
  <si>
    <t>MB101654</t>
  </si>
  <si>
    <t>MB101655</t>
  </si>
  <si>
    <t>MB101656</t>
  </si>
  <si>
    <t>MB101657</t>
  </si>
  <si>
    <t>MB101658</t>
  </si>
  <si>
    <t>MB101659</t>
  </si>
  <si>
    <t>MB101660</t>
  </si>
  <si>
    <t>MB101661</t>
  </si>
  <si>
    <t>MB101662</t>
  </si>
  <si>
    <t>MB101663</t>
  </si>
  <si>
    <t>MB101664</t>
  </si>
  <si>
    <t>MB101665</t>
  </si>
  <si>
    <t>MB101666</t>
  </si>
  <si>
    <t>MB101667</t>
  </si>
  <si>
    <t>MB101668</t>
  </si>
  <si>
    <t>MB101669</t>
  </si>
  <si>
    <t>MB101670</t>
  </si>
  <si>
    <t>MB101671</t>
  </si>
  <si>
    <t>MB101672</t>
  </si>
  <si>
    <t>MB101673</t>
  </si>
  <si>
    <t>MB101674</t>
  </si>
  <si>
    <t>MB101675</t>
  </si>
  <si>
    <t>MB101676</t>
  </si>
  <si>
    <t>MB101677</t>
  </si>
  <si>
    <t>MB101678</t>
  </si>
  <si>
    <t>MB101679</t>
  </si>
  <si>
    <t>MB101680</t>
  </si>
  <si>
    <t>MB101681</t>
  </si>
  <si>
    <t>MB101682</t>
  </si>
  <si>
    <t>MB101683</t>
  </si>
  <si>
    <t>MB101684</t>
  </si>
  <si>
    <t>MB101685</t>
  </si>
  <si>
    <t>MB101686</t>
  </si>
  <si>
    <t>MB101687</t>
  </si>
  <si>
    <t>MB101688</t>
  </si>
  <si>
    <t>MB101689</t>
  </si>
  <si>
    <t>MB101690</t>
  </si>
  <si>
    <t>MB101691</t>
  </si>
  <si>
    <t>MB101692</t>
  </si>
  <si>
    <t>MB101693</t>
  </si>
  <si>
    <t>MB101694</t>
  </si>
  <si>
    <t>MB101695</t>
  </si>
  <si>
    <t>MB101696</t>
  </si>
  <si>
    <t>MB101697</t>
  </si>
  <si>
    <t>MB101698</t>
  </si>
  <si>
    <t>MB101699</t>
  </si>
  <si>
    <t>MB101700</t>
  </si>
  <si>
    <t>MB101701</t>
  </si>
  <si>
    <t>MB101702</t>
  </si>
  <si>
    <t>MB101703</t>
  </si>
  <si>
    <t>MB101704</t>
  </si>
  <si>
    <t>MB101705</t>
  </si>
  <si>
    <t>MB101706</t>
  </si>
  <si>
    <t>MB101707</t>
  </si>
  <si>
    <t>MB101708</t>
  </si>
  <si>
    <t>MB101709</t>
  </si>
  <si>
    <t>MB101710</t>
  </si>
  <si>
    <t>MB101711</t>
  </si>
  <si>
    <t>MB101712</t>
  </si>
  <si>
    <t>MB101713</t>
  </si>
  <si>
    <t>MB101714</t>
  </si>
  <si>
    <t>MB101715</t>
  </si>
  <si>
    <t>MB101716</t>
  </si>
  <si>
    <t>MB101717</t>
  </si>
  <si>
    <t>MB101718</t>
  </si>
  <si>
    <t>MB101719</t>
  </si>
  <si>
    <t>MB101720</t>
  </si>
  <si>
    <t>MB101721</t>
  </si>
  <si>
    <t>MB101722</t>
  </si>
  <si>
    <t>MB101723</t>
  </si>
  <si>
    <t>MB101724</t>
  </si>
  <si>
    <t>MB101725</t>
  </si>
  <si>
    <t>MB101726</t>
  </si>
  <si>
    <t>MB101727</t>
  </si>
  <si>
    <t>MB101728</t>
  </si>
  <si>
    <t>MB101729</t>
  </si>
  <si>
    <t>MB101730</t>
  </si>
  <si>
    <t>Delhi_NCR</t>
  </si>
  <si>
    <t>Rohini</t>
  </si>
  <si>
    <t>MB101731</t>
  </si>
  <si>
    <t>Gurgaon</t>
  </si>
  <si>
    <t>MB101732</t>
  </si>
  <si>
    <t>Ghaziabad</t>
  </si>
  <si>
    <t>MB101733</t>
  </si>
  <si>
    <t>MB101734</t>
  </si>
  <si>
    <t>Noida</t>
  </si>
  <si>
    <t>MB101735</t>
  </si>
  <si>
    <t>MB101736</t>
  </si>
  <si>
    <t>Saket</t>
  </si>
  <si>
    <t>MB101737</t>
  </si>
  <si>
    <t>MB101738</t>
  </si>
  <si>
    <t>Dwarka</t>
  </si>
  <si>
    <t>MB101739</t>
  </si>
  <si>
    <t>MB101740</t>
  </si>
  <si>
    <t>MB101741</t>
  </si>
  <si>
    <t>MB101742</t>
  </si>
  <si>
    <t>MB101743</t>
  </si>
  <si>
    <t>MB101744</t>
  </si>
  <si>
    <t>MB101745</t>
  </si>
  <si>
    <t>MB101746</t>
  </si>
  <si>
    <t>MB101747</t>
  </si>
  <si>
    <t>MB101748</t>
  </si>
  <si>
    <t>MB101749</t>
  </si>
  <si>
    <t>MB101750</t>
  </si>
  <si>
    <t>MB101751</t>
  </si>
  <si>
    <t>MB101752</t>
  </si>
  <si>
    <t>MB101753</t>
  </si>
  <si>
    <t>MB101754</t>
  </si>
  <si>
    <t>MB101755</t>
  </si>
  <si>
    <t>MB101756</t>
  </si>
  <si>
    <t>MB101757</t>
  </si>
  <si>
    <t>MB101758</t>
  </si>
  <si>
    <t>MB101759</t>
  </si>
  <si>
    <t>MB101760</t>
  </si>
  <si>
    <t>MB101761</t>
  </si>
  <si>
    <t>MB101762</t>
  </si>
  <si>
    <t>MB101763</t>
  </si>
  <si>
    <t>MB101764</t>
  </si>
  <si>
    <t>MB101765</t>
  </si>
  <si>
    <t>MB101766</t>
  </si>
  <si>
    <t>MB101767</t>
  </si>
  <si>
    <t>MB101768</t>
  </si>
  <si>
    <t>MB101769</t>
  </si>
  <si>
    <t>MB101770</t>
  </si>
  <si>
    <t>MB101771</t>
  </si>
  <si>
    <t>MB101772</t>
  </si>
  <si>
    <t>MB101773</t>
  </si>
  <si>
    <t>MB101774</t>
  </si>
  <si>
    <t>MB101775</t>
  </si>
  <si>
    <t>MB101776</t>
  </si>
  <si>
    <t>MB101777</t>
  </si>
  <si>
    <t>MB101778</t>
  </si>
  <si>
    <t>MB101779</t>
  </si>
  <si>
    <t>MB101780</t>
  </si>
  <si>
    <t>MB101781</t>
  </si>
  <si>
    <t>MB101782</t>
  </si>
  <si>
    <t>MB101783</t>
  </si>
  <si>
    <t>MB101784</t>
  </si>
  <si>
    <t>MB101785</t>
  </si>
  <si>
    <t>MB101786</t>
  </si>
  <si>
    <t>MB101787</t>
  </si>
  <si>
    <t>MB101788</t>
  </si>
  <si>
    <t>MB101789</t>
  </si>
  <si>
    <t>MB101790</t>
  </si>
  <si>
    <t>MB101791</t>
  </si>
  <si>
    <t>MB101792</t>
  </si>
  <si>
    <t>MB101793</t>
  </si>
  <si>
    <t>MB101794</t>
  </si>
  <si>
    <t>MB101795</t>
  </si>
  <si>
    <t>MB101796</t>
  </si>
  <si>
    <t>MB101797</t>
  </si>
  <si>
    <t>MB101798</t>
  </si>
  <si>
    <t>MB101799</t>
  </si>
  <si>
    <t>MB101800</t>
  </si>
  <si>
    <t>MB101801</t>
  </si>
  <si>
    <t>MB101802</t>
  </si>
  <si>
    <t>MB101803</t>
  </si>
  <si>
    <t>MB101804</t>
  </si>
  <si>
    <t>MB101805</t>
  </si>
  <si>
    <t>MB101806</t>
  </si>
  <si>
    <t>MB101807</t>
  </si>
  <si>
    <t>MB101808</t>
  </si>
  <si>
    <t>MB101809</t>
  </si>
  <si>
    <t>MB101810</t>
  </si>
  <si>
    <t>MB101811</t>
  </si>
  <si>
    <t>MB101812</t>
  </si>
  <si>
    <t>MB101813</t>
  </si>
  <si>
    <t>MB101814</t>
  </si>
  <si>
    <t>MB101815</t>
  </si>
  <si>
    <t>MB101816</t>
  </si>
  <si>
    <t>MB101817</t>
  </si>
  <si>
    <t>MB101818</t>
  </si>
  <si>
    <t>MB101819</t>
  </si>
  <si>
    <t>MB101820</t>
  </si>
  <si>
    <t>MB101821</t>
  </si>
  <si>
    <t>MB101822</t>
  </si>
  <si>
    <t>MB101823</t>
  </si>
  <si>
    <t>MB101824</t>
  </si>
  <si>
    <t>MB101825</t>
  </si>
  <si>
    <t>MB101826</t>
  </si>
  <si>
    <t>MB101827</t>
  </si>
  <si>
    <t>MB101828</t>
  </si>
  <si>
    <t>MB101829</t>
  </si>
  <si>
    <t>MB101830</t>
  </si>
  <si>
    <t>MB101831</t>
  </si>
  <si>
    <t>MB101832</t>
  </si>
  <si>
    <t>MB101833</t>
  </si>
  <si>
    <t>MB101834</t>
  </si>
  <si>
    <t>MB101835</t>
  </si>
  <si>
    <t>MB101836</t>
  </si>
  <si>
    <t>MB101837</t>
  </si>
  <si>
    <t>MB101838</t>
  </si>
  <si>
    <t>MB101839</t>
  </si>
  <si>
    <t>MB101840</t>
  </si>
  <si>
    <t>MB101841</t>
  </si>
  <si>
    <t>MB101842</t>
  </si>
  <si>
    <t>MB101843</t>
  </si>
  <si>
    <t>MB101844</t>
  </si>
  <si>
    <t>MB101845</t>
  </si>
  <si>
    <t>MB101846</t>
  </si>
  <si>
    <t>MB101847</t>
  </si>
  <si>
    <t>MB101848</t>
  </si>
  <si>
    <t>MB101849</t>
  </si>
  <si>
    <t>MB101850</t>
  </si>
  <si>
    <t>MB101851</t>
  </si>
  <si>
    <t>MB101852</t>
  </si>
  <si>
    <t>MB101853</t>
  </si>
  <si>
    <t>MB101854</t>
  </si>
  <si>
    <t>MB101855</t>
  </si>
  <si>
    <t>MB101856</t>
  </si>
  <si>
    <t>MB101857</t>
  </si>
  <si>
    <t>MB101858</t>
  </si>
  <si>
    <t>MB101859</t>
  </si>
  <si>
    <t>MB101860</t>
  </si>
  <si>
    <t>MB101861</t>
  </si>
  <si>
    <t>MB101862</t>
  </si>
  <si>
    <t>MB101863</t>
  </si>
  <si>
    <t>MB101864</t>
  </si>
  <si>
    <t>MB101865</t>
  </si>
  <si>
    <t>MB101866</t>
  </si>
  <si>
    <t>MB101867</t>
  </si>
  <si>
    <t>MB101868</t>
  </si>
  <si>
    <t>MB101869</t>
  </si>
  <si>
    <t>MB101870</t>
  </si>
  <si>
    <t>MB101871</t>
  </si>
  <si>
    <t>MB101872</t>
  </si>
  <si>
    <t>MB101873</t>
  </si>
  <si>
    <t>MB101874</t>
  </si>
  <si>
    <t>MB101875</t>
  </si>
  <si>
    <t>MB101876</t>
  </si>
  <si>
    <t>MB101877</t>
  </si>
  <si>
    <t>MB101878</t>
  </si>
  <si>
    <t>MB101879</t>
  </si>
  <si>
    <t>MB101880</t>
  </si>
  <si>
    <t>MB101881</t>
  </si>
  <si>
    <t>MB101882</t>
  </si>
  <si>
    <t>MB101883</t>
  </si>
  <si>
    <t>MB101884</t>
  </si>
  <si>
    <t>MB101885</t>
  </si>
  <si>
    <t>MB101886</t>
  </si>
  <si>
    <t>MB101887</t>
  </si>
  <si>
    <t>MB101888</t>
  </si>
  <si>
    <t>MB101889</t>
  </si>
  <si>
    <t>MB101890</t>
  </si>
  <si>
    <t>MB101891</t>
  </si>
  <si>
    <t>MB101892</t>
  </si>
  <si>
    <t>MB101893</t>
  </si>
  <si>
    <t>MB101894</t>
  </si>
  <si>
    <t>MB101895</t>
  </si>
  <si>
    <t>MB101896</t>
  </si>
  <si>
    <t>MB101897</t>
  </si>
  <si>
    <t>MB101898</t>
  </si>
  <si>
    <t>MB101899</t>
  </si>
  <si>
    <t>MB101900</t>
  </si>
  <si>
    <t>MB101901</t>
  </si>
  <si>
    <t>MB101902</t>
  </si>
  <si>
    <t>MB101903</t>
  </si>
  <si>
    <t>MB101904</t>
  </si>
  <si>
    <t>MB101905</t>
  </si>
  <si>
    <t>MB101906</t>
  </si>
  <si>
    <t>MB101907</t>
  </si>
  <si>
    <t>MB101908</t>
  </si>
  <si>
    <t>MB101909</t>
  </si>
  <si>
    <t>MB101910</t>
  </si>
  <si>
    <t>MB101911</t>
  </si>
  <si>
    <t>MB101912</t>
  </si>
  <si>
    <t>MB101913</t>
  </si>
  <si>
    <t>MB101914</t>
  </si>
  <si>
    <t>MB101915</t>
  </si>
  <si>
    <t>Hyderabad</t>
  </si>
  <si>
    <t>Madhapur</t>
  </si>
  <si>
    <t>MB101916</t>
  </si>
  <si>
    <t>Baniara Hills</t>
  </si>
  <si>
    <t>MB101917</t>
  </si>
  <si>
    <t>Kukatpally</t>
  </si>
  <si>
    <t>MB101918</t>
  </si>
  <si>
    <t>Gachibowli</t>
  </si>
  <si>
    <t>MB101919</t>
  </si>
  <si>
    <t>MB101920</t>
  </si>
  <si>
    <t>MB101921</t>
  </si>
  <si>
    <t>MB101922</t>
  </si>
  <si>
    <t>Begumpet</t>
  </si>
  <si>
    <t>MB101923</t>
  </si>
  <si>
    <t>MB101924</t>
  </si>
  <si>
    <t>MB101925</t>
  </si>
  <si>
    <t>MB101926</t>
  </si>
  <si>
    <t>MB101927</t>
  </si>
  <si>
    <t>MB101928</t>
  </si>
  <si>
    <t>Kondapur</t>
  </si>
  <si>
    <t>MB101929</t>
  </si>
  <si>
    <t>MB101930</t>
  </si>
  <si>
    <t>MB101931</t>
  </si>
  <si>
    <t>MB101932</t>
  </si>
  <si>
    <t>MB101933</t>
  </si>
  <si>
    <t>MB101934</t>
  </si>
  <si>
    <t>MB101935</t>
  </si>
  <si>
    <t>MB101936</t>
  </si>
  <si>
    <t>MB101937</t>
  </si>
  <si>
    <t>MB101938</t>
  </si>
  <si>
    <t>MB101939</t>
  </si>
  <si>
    <t>MB101940</t>
  </si>
  <si>
    <t>MB101941</t>
  </si>
  <si>
    <t>MB101942</t>
  </si>
  <si>
    <t>MB101943</t>
  </si>
  <si>
    <t>MB101944</t>
  </si>
  <si>
    <t>MB101945</t>
  </si>
  <si>
    <t>MB101946</t>
  </si>
  <si>
    <t>MB101947</t>
  </si>
  <si>
    <t>MB101948</t>
  </si>
  <si>
    <t>MB101949</t>
  </si>
  <si>
    <t>MB101950</t>
  </si>
  <si>
    <t>MB101951</t>
  </si>
  <si>
    <t>MB101952</t>
  </si>
  <si>
    <t>MB101953</t>
  </si>
  <si>
    <t>MB101954</t>
  </si>
  <si>
    <t>MB101955</t>
  </si>
  <si>
    <t>MB101956</t>
  </si>
  <si>
    <t>MB101957</t>
  </si>
  <si>
    <t>MB101958</t>
  </si>
  <si>
    <t>MB101959</t>
  </si>
  <si>
    <t>MB101960</t>
  </si>
  <si>
    <t>MB101961</t>
  </si>
  <si>
    <t>MB101962</t>
  </si>
  <si>
    <t>MB101963</t>
  </si>
  <si>
    <t>MB101964</t>
  </si>
  <si>
    <t>MB101965</t>
  </si>
  <si>
    <t>MB101966</t>
  </si>
  <si>
    <t>MB101967</t>
  </si>
  <si>
    <t>MB101968</t>
  </si>
  <si>
    <t>MB101969</t>
  </si>
  <si>
    <t>MB101970</t>
  </si>
  <si>
    <t>MB101971</t>
  </si>
  <si>
    <t>MB101972</t>
  </si>
  <si>
    <t>MB101973</t>
  </si>
  <si>
    <t>MB101974</t>
  </si>
  <si>
    <t>MB101975</t>
  </si>
  <si>
    <t>MB101976</t>
  </si>
  <si>
    <t>MB101977</t>
  </si>
  <si>
    <t>MB101978</t>
  </si>
  <si>
    <t>MB101979</t>
  </si>
  <si>
    <t>MB101980</t>
  </si>
  <si>
    <t>MB101981</t>
  </si>
  <si>
    <t>MB101982</t>
  </si>
  <si>
    <t>MB101983</t>
  </si>
  <si>
    <t>MB101984</t>
  </si>
  <si>
    <t>MB101985</t>
  </si>
  <si>
    <t>MB101986</t>
  </si>
  <si>
    <t>MB101987</t>
  </si>
  <si>
    <t>MB101988</t>
  </si>
  <si>
    <t>MB101989</t>
  </si>
  <si>
    <t>MB101990</t>
  </si>
  <si>
    <t>MB101991</t>
  </si>
  <si>
    <t>MB101992</t>
  </si>
  <si>
    <t>MB101993</t>
  </si>
  <si>
    <t>MB101994</t>
  </si>
  <si>
    <t>MB101995</t>
  </si>
  <si>
    <t>MB101996</t>
  </si>
  <si>
    <t>MB101997</t>
  </si>
  <si>
    <t>MB101998</t>
  </si>
  <si>
    <t>MB101999</t>
  </si>
  <si>
    <t>MB102000</t>
  </si>
  <si>
    <t>MB102001</t>
  </si>
  <si>
    <t>MB102002</t>
  </si>
  <si>
    <t>MB102003</t>
  </si>
  <si>
    <t>MB102004</t>
  </si>
  <si>
    <t>MB102005</t>
  </si>
  <si>
    <t>MB102006</t>
  </si>
  <si>
    <t>MB102007</t>
  </si>
  <si>
    <t>MB102008</t>
  </si>
  <si>
    <t>MB102009</t>
  </si>
  <si>
    <t>MB102010</t>
  </si>
  <si>
    <t>MB102011</t>
  </si>
  <si>
    <t>MB102012</t>
  </si>
  <si>
    <t>MB102013</t>
  </si>
  <si>
    <t>MB102014</t>
  </si>
  <si>
    <t>MB102015</t>
  </si>
  <si>
    <t>MB102016</t>
  </si>
  <si>
    <t>MB102017</t>
  </si>
  <si>
    <t>MB102018</t>
  </si>
  <si>
    <t>MB102019</t>
  </si>
  <si>
    <t>MB102020</t>
  </si>
  <si>
    <t>MB102021</t>
  </si>
  <si>
    <t>MB102022</t>
  </si>
  <si>
    <t>MB102023</t>
  </si>
  <si>
    <t>MB102024</t>
  </si>
  <si>
    <t>MB102025</t>
  </si>
  <si>
    <t>MB102026</t>
  </si>
  <si>
    <t>MB102027</t>
  </si>
  <si>
    <t>MB102028</t>
  </si>
  <si>
    <t>MB102029</t>
  </si>
  <si>
    <t>MB102030</t>
  </si>
  <si>
    <t>MB102031</t>
  </si>
  <si>
    <t>MB102032</t>
  </si>
  <si>
    <t>MB102033</t>
  </si>
  <si>
    <t>MB102034</t>
  </si>
  <si>
    <t>MB102035</t>
  </si>
  <si>
    <t>MB102036</t>
  </si>
  <si>
    <t>MB102037</t>
  </si>
  <si>
    <t>MB102038</t>
  </si>
  <si>
    <t>MB102039</t>
  </si>
  <si>
    <t>MB102040</t>
  </si>
  <si>
    <t>MB102041</t>
  </si>
  <si>
    <t>MB102042</t>
  </si>
  <si>
    <t>MB102043</t>
  </si>
  <si>
    <t>MB102044</t>
  </si>
  <si>
    <t>MB102045</t>
  </si>
  <si>
    <t>MB102046</t>
  </si>
  <si>
    <t>MB102047</t>
  </si>
  <si>
    <t>MB102048</t>
  </si>
  <si>
    <t>MB102049</t>
  </si>
  <si>
    <t>MB102050</t>
  </si>
  <si>
    <t>MB102051</t>
  </si>
  <si>
    <t>MB102052</t>
  </si>
  <si>
    <t>MB102053</t>
  </si>
  <si>
    <t>MB102054</t>
  </si>
  <si>
    <t>MB102055</t>
  </si>
  <si>
    <t>MB102056</t>
  </si>
  <si>
    <t>MB102057</t>
  </si>
  <si>
    <t>MB102058</t>
  </si>
  <si>
    <t>MB102059</t>
  </si>
  <si>
    <t>MB102060</t>
  </si>
  <si>
    <t>MB102061</t>
  </si>
  <si>
    <t>MB102062</t>
  </si>
  <si>
    <t>MB102063</t>
  </si>
  <si>
    <t>MB102064</t>
  </si>
  <si>
    <t>MB102065</t>
  </si>
  <si>
    <t>MB102066</t>
  </si>
  <si>
    <t>MB102067</t>
  </si>
  <si>
    <t>MB102068</t>
  </si>
  <si>
    <t>MB102069</t>
  </si>
  <si>
    <t>MB102070</t>
  </si>
  <si>
    <t>MB102071</t>
  </si>
  <si>
    <t>Jaipur</t>
  </si>
  <si>
    <t>Jagatpura</t>
  </si>
  <si>
    <t>MB102072</t>
  </si>
  <si>
    <t>C-Scheme</t>
  </si>
  <si>
    <t>MB102073</t>
  </si>
  <si>
    <t>Vaishali Nagar</t>
  </si>
  <si>
    <t>MB102074</t>
  </si>
  <si>
    <t>MB102075</t>
  </si>
  <si>
    <t>MB102076</t>
  </si>
  <si>
    <t>MB102077</t>
  </si>
  <si>
    <t>MB102078</t>
  </si>
  <si>
    <t>MB102079</t>
  </si>
  <si>
    <t>MB102080</t>
  </si>
  <si>
    <t>MB102081</t>
  </si>
  <si>
    <t>MB102082</t>
  </si>
  <si>
    <t>Aimer Road</t>
  </si>
  <si>
    <t>MB102083</t>
  </si>
  <si>
    <t>MB102084</t>
  </si>
  <si>
    <t>MB102085</t>
  </si>
  <si>
    <t>MB102086</t>
  </si>
  <si>
    <t>MB102087</t>
  </si>
  <si>
    <t>MB102088</t>
  </si>
  <si>
    <t>Mansarovar</t>
  </si>
  <si>
    <t>MB102089</t>
  </si>
  <si>
    <t>MB102090</t>
  </si>
  <si>
    <t>MB102091</t>
  </si>
  <si>
    <t>MB102092</t>
  </si>
  <si>
    <t>MB102093</t>
  </si>
  <si>
    <t>MB102094</t>
  </si>
  <si>
    <t>MB102095</t>
  </si>
  <si>
    <t>MB102096</t>
  </si>
  <si>
    <t>MB102097</t>
  </si>
  <si>
    <t>MB102098</t>
  </si>
  <si>
    <t>MB102099</t>
  </si>
  <si>
    <t>MB102100</t>
  </si>
  <si>
    <t>MB102101</t>
  </si>
  <si>
    <t>MB102102</t>
  </si>
  <si>
    <t>MB102103</t>
  </si>
  <si>
    <t>MB102104</t>
  </si>
  <si>
    <t>MB102105</t>
  </si>
  <si>
    <t>MB102106</t>
  </si>
  <si>
    <t>MB102107</t>
  </si>
  <si>
    <t>MB102108</t>
  </si>
  <si>
    <t>MB102109</t>
  </si>
  <si>
    <t>MB102110</t>
  </si>
  <si>
    <t>MB102111</t>
  </si>
  <si>
    <t>MB102112</t>
  </si>
  <si>
    <t>MB102113</t>
  </si>
  <si>
    <t>MB102114</t>
  </si>
  <si>
    <t>MB102115</t>
  </si>
  <si>
    <t>MB102116</t>
  </si>
  <si>
    <t>MB102117</t>
  </si>
  <si>
    <t>MB102118</t>
  </si>
  <si>
    <t>MB102119</t>
  </si>
  <si>
    <t>MB102120</t>
  </si>
  <si>
    <t>MB102121</t>
  </si>
  <si>
    <t>MB102122</t>
  </si>
  <si>
    <t>MB102123</t>
  </si>
  <si>
    <t>MB102124</t>
  </si>
  <si>
    <t>MB102125</t>
  </si>
  <si>
    <t>MB102126</t>
  </si>
  <si>
    <t>MB102127</t>
  </si>
  <si>
    <t>MB102128</t>
  </si>
  <si>
    <t>MB102129</t>
  </si>
  <si>
    <t>MB102130</t>
  </si>
  <si>
    <t>MB102131</t>
  </si>
  <si>
    <t>MB102132</t>
  </si>
  <si>
    <t>MB102133</t>
  </si>
  <si>
    <t>MB102134</t>
  </si>
  <si>
    <t>MB102135</t>
  </si>
  <si>
    <t>MB102136</t>
  </si>
  <si>
    <t>MB102137</t>
  </si>
  <si>
    <t>MB102138</t>
  </si>
  <si>
    <t>MB102139</t>
  </si>
  <si>
    <t>MB102140</t>
  </si>
  <si>
    <t>MB102141</t>
  </si>
  <si>
    <t>MB102142</t>
  </si>
  <si>
    <t>MB102143</t>
  </si>
  <si>
    <t>MB102144</t>
  </si>
  <si>
    <t>MB102145</t>
  </si>
  <si>
    <t>MB102146</t>
  </si>
  <si>
    <t>MB102147</t>
  </si>
  <si>
    <t>MB102148</t>
  </si>
  <si>
    <t>MB102149</t>
  </si>
  <si>
    <t>MB102150</t>
  </si>
  <si>
    <t>MB102151</t>
  </si>
  <si>
    <t>MB102152</t>
  </si>
  <si>
    <t>MB102153</t>
  </si>
  <si>
    <t>MB102154</t>
  </si>
  <si>
    <t>MB102155</t>
  </si>
  <si>
    <t>MB102156</t>
  </si>
  <si>
    <t>MB102157</t>
  </si>
  <si>
    <t>MB102158</t>
  </si>
  <si>
    <t>MB102159</t>
  </si>
  <si>
    <t>MB102160</t>
  </si>
  <si>
    <t>MB102161</t>
  </si>
  <si>
    <t>MB102162</t>
  </si>
  <si>
    <t>MB102163</t>
  </si>
  <si>
    <t>MB102164</t>
  </si>
  <si>
    <t>MB102165</t>
  </si>
  <si>
    <t>MB102166</t>
  </si>
  <si>
    <t>MB102167</t>
  </si>
  <si>
    <t>MB102168</t>
  </si>
  <si>
    <t>MB102169</t>
  </si>
  <si>
    <t>MB102170</t>
  </si>
  <si>
    <t>MB102171</t>
  </si>
  <si>
    <t>MB102172</t>
  </si>
  <si>
    <t>MB102173</t>
  </si>
  <si>
    <t>MB102174</t>
  </si>
  <si>
    <t>MB102175</t>
  </si>
  <si>
    <t>MB102176</t>
  </si>
  <si>
    <t>MB102177</t>
  </si>
  <si>
    <t>MB102178</t>
  </si>
  <si>
    <t>MB102179</t>
  </si>
  <si>
    <t>MB102180</t>
  </si>
  <si>
    <t>MB102181</t>
  </si>
  <si>
    <t>MB102182</t>
  </si>
  <si>
    <t>MB102183</t>
  </si>
  <si>
    <t>MB102184</t>
  </si>
  <si>
    <t>MB102185</t>
  </si>
  <si>
    <t>MB102186</t>
  </si>
  <si>
    <t>MB102187</t>
  </si>
  <si>
    <t>MB102188</t>
  </si>
  <si>
    <t>MB102189</t>
  </si>
  <si>
    <t>MB102190</t>
  </si>
  <si>
    <t>MB102191</t>
  </si>
  <si>
    <t>MB102192</t>
  </si>
  <si>
    <t>MB102193</t>
  </si>
  <si>
    <t>MB102194</t>
  </si>
  <si>
    <t>MB102195</t>
  </si>
  <si>
    <t>MB102196</t>
  </si>
  <si>
    <t>MB102197</t>
  </si>
  <si>
    <t>MB102198</t>
  </si>
  <si>
    <t>MB102199</t>
  </si>
  <si>
    <t>MB102200</t>
  </si>
  <si>
    <t>MB102201</t>
  </si>
  <si>
    <t>MB102202</t>
  </si>
  <si>
    <t>MB102203</t>
  </si>
  <si>
    <t>MB102204</t>
  </si>
  <si>
    <t>MB102205</t>
  </si>
  <si>
    <t>MB102206</t>
  </si>
  <si>
    <t>MB102207</t>
  </si>
  <si>
    <t>MB102208</t>
  </si>
  <si>
    <t>MB102209</t>
  </si>
  <si>
    <t>MB102210</t>
  </si>
  <si>
    <t>MB102211</t>
  </si>
  <si>
    <t>Kolkata</t>
  </si>
  <si>
    <t>Salt Lake</t>
  </si>
  <si>
    <t>MB102212</t>
  </si>
  <si>
    <t>New Town</t>
  </si>
  <si>
    <t>MB102213</t>
  </si>
  <si>
    <t>Garia</t>
  </si>
  <si>
    <t>MB102214</t>
  </si>
  <si>
    <t>Howrah</t>
  </si>
  <si>
    <t>MB102215</t>
  </si>
  <si>
    <t>MB102216</t>
  </si>
  <si>
    <t>MB102217</t>
  </si>
  <si>
    <t>Raiarhat</t>
  </si>
  <si>
    <t>MB102218</t>
  </si>
  <si>
    <t>MB102219</t>
  </si>
  <si>
    <t>MB102220</t>
  </si>
  <si>
    <t>MB102221</t>
  </si>
  <si>
    <t>MB102222</t>
  </si>
  <si>
    <t>MB102223</t>
  </si>
  <si>
    <t>MB102224</t>
  </si>
  <si>
    <t>Behala</t>
  </si>
  <si>
    <t>MB102225</t>
  </si>
  <si>
    <t>MB102226</t>
  </si>
  <si>
    <t>MB102227</t>
  </si>
  <si>
    <t>MB102228</t>
  </si>
  <si>
    <t>MB102229</t>
  </si>
  <si>
    <t>MB102230</t>
  </si>
  <si>
    <t>MB102231</t>
  </si>
  <si>
    <t>MB102232</t>
  </si>
  <si>
    <t>MB102233</t>
  </si>
  <si>
    <t>MB102234</t>
  </si>
  <si>
    <t>MB102235</t>
  </si>
  <si>
    <t>MB102236</t>
  </si>
  <si>
    <t>MB102237</t>
  </si>
  <si>
    <t>MB102238</t>
  </si>
  <si>
    <t>MB102239</t>
  </si>
  <si>
    <t>MB102240</t>
  </si>
  <si>
    <t>MB102241</t>
  </si>
  <si>
    <t>MB102242</t>
  </si>
  <si>
    <t>MB102243</t>
  </si>
  <si>
    <t>MB102244</t>
  </si>
  <si>
    <t>MB102245</t>
  </si>
  <si>
    <t>MB102246</t>
  </si>
  <si>
    <t>MB102247</t>
  </si>
  <si>
    <t>MB102248</t>
  </si>
  <si>
    <t>MB102249</t>
  </si>
  <si>
    <t>MB102250</t>
  </si>
  <si>
    <t>MB102251</t>
  </si>
  <si>
    <t>MB102252</t>
  </si>
  <si>
    <t>MB102253</t>
  </si>
  <si>
    <t>MB102254</t>
  </si>
  <si>
    <t>MB102255</t>
  </si>
  <si>
    <t>MB102256</t>
  </si>
  <si>
    <t>MB102257</t>
  </si>
  <si>
    <t>MB102258</t>
  </si>
  <si>
    <t>MB102259</t>
  </si>
  <si>
    <t>MB102260</t>
  </si>
  <si>
    <t>MB102261</t>
  </si>
  <si>
    <t>MB102262</t>
  </si>
  <si>
    <t>MB102263</t>
  </si>
  <si>
    <t>MB102264</t>
  </si>
  <si>
    <t>MB102265</t>
  </si>
  <si>
    <t>MB102266</t>
  </si>
  <si>
    <t>MB102267</t>
  </si>
  <si>
    <t>MB102268</t>
  </si>
  <si>
    <t>MB102269</t>
  </si>
  <si>
    <t>MB102270</t>
  </si>
  <si>
    <t>MB102271</t>
  </si>
  <si>
    <t>MB102272</t>
  </si>
  <si>
    <t>MB102273</t>
  </si>
  <si>
    <t>MB102274</t>
  </si>
  <si>
    <t>MB102275</t>
  </si>
  <si>
    <t>MB102276</t>
  </si>
  <si>
    <t>MB102277</t>
  </si>
  <si>
    <t>MB102278</t>
  </si>
  <si>
    <t>MB102279</t>
  </si>
  <si>
    <t>MB102280</t>
  </si>
  <si>
    <t>MB102281</t>
  </si>
  <si>
    <t>MB102282</t>
  </si>
  <si>
    <t>MB102283</t>
  </si>
  <si>
    <t>MB102284</t>
  </si>
  <si>
    <t>MB102285</t>
  </si>
  <si>
    <t>MB102286</t>
  </si>
  <si>
    <t>MB102287</t>
  </si>
  <si>
    <t>MB102288</t>
  </si>
  <si>
    <t>MB102289</t>
  </si>
  <si>
    <t>MB102290</t>
  </si>
  <si>
    <t>MB102291</t>
  </si>
  <si>
    <t>MB102292</t>
  </si>
  <si>
    <t>MB102293</t>
  </si>
  <si>
    <t>MB102294</t>
  </si>
  <si>
    <t>MB102295</t>
  </si>
  <si>
    <t>MB102296</t>
  </si>
  <si>
    <t>MB102297</t>
  </si>
  <si>
    <t>MB102298</t>
  </si>
  <si>
    <t>MB102299</t>
  </si>
  <si>
    <t>MB102300</t>
  </si>
  <si>
    <t>MB102301</t>
  </si>
  <si>
    <t>MB102302</t>
  </si>
  <si>
    <t>MB102303</t>
  </si>
  <si>
    <t>MB102304</t>
  </si>
  <si>
    <t>MB102305</t>
  </si>
  <si>
    <t>MB102306</t>
  </si>
  <si>
    <t>MB102307</t>
  </si>
  <si>
    <t>MB102308</t>
  </si>
  <si>
    <t>MB102309</t>
  </si>
  <si>
    <t>MB102310</t>
  </si>
  <si>
    <t>MB102311</t>
  </si>
  <si>
    <t>MB102312</t>
  </si>
  <si>
    <t>MB102313</t>
  </si>
  <si>
    <t>MB102314</t>
  </si>
  <si>
    <t>MB102315</t>
  </si>
  <si>
    <t>MB102316</t>
  </si>
  <si>
    <t>MB102317</t>
  </si>
  <si>
    <t>MB102318</t>
  </si>
  <si>
    <t>MB102319</t>
  </si>
  <si>
    <t>MB102320</t>
  </si>
  <si>
    <t>MB102321</t>
  </si>
  <si>
    <t>MB102322</t>
  </si>
  <si>
    <t>MB102323</t>
  </si>
  <si>
    <t>MB102324</t>
  </si>
  <si>
    <t>MB102325</t>
  </si>
  <si>
    <t>MB102326</t>
  </si>
  <si>
    <t>MB102327</t>
  </si>
  <si>
    <t>MB102328</t>
  </si>
  <si>
    <t>MB102329</t>
  </si>
  <si>
    <t>MB102330</t>
  </si>
  <si>
    <t>MB102331</t>
  </si>
  <si>
    <t>MB102332</t>
  </si>
  <si>
    <t>MB102333</t>
  </si>
  <si>
    <t>MB102334</t>
  </si>
  <si>
    <t>MB102335</t>
  </si>
  <si>
    <t>MB102336</t>
  </si>
  <si>
    <t>MB102337</t>
  </si>
  <si>
    <t>MB102338</t>
  </si>
  <si>
    <t>MB102339</t>
  </si>
  <si>
    <t>MB102340</t>
  </si>
  <si>
    <t>MB102341</t>
  </si>
  <si>
    <t>MB102342</t>
  </si>
  <si>
    <t>MB102343</t>
  </si>
  <si>
    <t>MB102344</t>
  </si>
  <si>
    <t>MB102345</t>
  </si>
  <si>
    <t>MB102346</t>
  </si>
  <si>
    <t>MB102347</t>
  </si>
  <si>
    <t>MB102348</t>
  </si>
  <si>
    <t>MB102349</t>
  </si>
  <si>
    <t>MB102350</t>
  </si>
  <si>
    <t>MB102351</t>
  </si>
  <si>
    <t>MB102352</t>
  </si>
  <si>
    <t>MB102353</t>
  </si>
  <si>
    <t>MB102354</t>
  </si>
  <si>
    <t>MB102355</t>
  </si>
  <si>
    <t>MB102356</t>
  </si>
  <si>
    <t>MB102357</t>
  </si>
  <si>
    <t>MB102358</t>
  </si>
  <si>
    <t>MB102359</t>
  </si>
  <si>
    <t>MB102360</t>
  </si>
  <si>
    <t>MB102361</t>
  </si>
  <si>
    <t>MB102362</t>
  </si>
  <si>
    <t>MB102363</t>
  </si>
  <si>
    <t>MB102364</t>
  </si>
  <si>
    <t>MB102365</t>
  </si>
  <si>
    <t>MB102366</t>
  </si>
  <si>
    <t>MB102367</t>
  </si>
  <si>
    <t>MB102368</t>
  </si>
  <si>
    <t>MB102369</t>
  </si>
  <si>
    <t>MB102370</t>
  </si>
  <si>
    <t>MB102371</t>
  </si>
  <si>
    <t>MB102372</t>
  </si>
  <si>
    <t>Lucknow</t>
  </si>
  <si>
    <t>Aligani</t>
  </si>
  <si>
    <t>MB102373</t>
  </si>
  <si>
    <t>MB102374</t>
  </si>
  <si>
    <t>Gomti Nagar</t>
  </si>
  <si>
    <t>MB102375</t>
  </si>
  <si>
    <t>Vrindavan Yoiana</t>
  </si>
  <si>
    <t>MB102376</t>
  </si>
  <si>
    <t>indira Nagar</t>
  </si>
  <si>
    <t>MB102377</t>
  </si>
  <si>
    <t>MB102378</t>
  </si>
  <si>
    <t>iankipuram</t>
  </si>
  <si>
    <t>MB102379</t>
  </si>
  <si>
    <t>Hazratgani</t>
  </si>
  <si>
    <t>MB102380</t>
  </si>
  <si>
    <t>MB102381</t>
  </si>
  <si>
    <t>MB102382</t>
  </si>
  <si>
    <t>MB102383</t>
  </si>
  <si>
    <t>MB102384</t>
  </si>
  <si>
    <t>MB102385</t>
  </si>
  <si>
    <t>MB102386</t>
  </si>
  <si>
    <t>MB102387</t>
  </si>
  <si>
    <t>MB102388</t>
  </si>
  <si>
    <t>MB102389</t>
  </si>
  <si>
    <t>MB102390</t>
  </si>
  <si>
    <t>MB102391</t>
  </si>
  <si>
    <t>MB102392</t>
  </si>
  <si>
    <t>MB102393</t>
  </si>
  <si>
    <t>MB102394</t>
  </si>
  <si>
    <t>MB102395</t>
  </si>
  <si>
    <t>MB102396</t>
  </si>
  <si>
    <t>MB102397</t>
  </si>
  <si>
    <t>MB102398</t>
  </si>
  <si>
    <t>MB102399</t>
  </si>
  <si>
    <t>MB102400</t>
  </si>
  <si>
    <t>MB102401</t>
  </si>
  <si>
    <t>MB102402</t>
  </si>
  <si>
    <t>MB102403</t>
  </si>
  <si>
    <t>MB102404</t>
  </si>
  <si>
    <t>MB102405</t>
  </si>
  <si>
    <t>MB102406</t>
  </si>
  <si>
    <t>MB102407</t>
  </si>
  <si>
    <t>MB102408</t>
  </si>
  <si>
    <t>MB102409</t>
  </si>
  <si>
    <t>MB102410</t>
  </si>
  <si>
    <t>MB102411</t>
  </si>
  <si>
    <t>MB102412</t>
  </si>
  <si>
    <t>MB102413</t>
  </si>
  <si>
    <t>MB102414</t>
  </si>
  <si>
    <t>MB102415</t>
  </si>
  <si>
    <t>MB102416</t>
  </si>
  <si>
    <t>MB102417</t>
  </si>
  <si>
    <t>MB102418</t>
  </si>
  <si>
    <t>MB102419</t>
  </si>
  <si>
    <t>MB102420</t>
  </si>
  <si>
    <t>MB102421</t>
  </si>
  <si>
    <t>MB102422</t>
  </si>
  <si>
    <t>MB102423</t>
  </si>
  <si>
    <t>MB102424</t>
  </si>
  <si>
    <t>MB102425</t>
  </si>
  <si>
    <t>MB102426</t>
  </si>
  <si>
    <t>MB102427</t>
  </si>
  <si>
    <t>MB102428</t>
  </si>
  <si>
    <t>MB102429</t>
  </si>
  <si>
    <t>MB102430</t>
  </si>
  <si>
    <t>MB102431</t>
  </si>
  <si>
    <t>MB102432</t>
  </si>
  <si>
    <t>MB102433</t>
  </si>
  <si>
    <t>MB102434</t>
  </si>
  <si>
    <t>MB102435</t>
  </si>
  <si>
    <t>MB102436</t>
  </si>
  <si>
    <t>MB102437</t>
  </si>
  <si>
    <t>MB102438</t>
  </si>
  <si>
    <t>MB102439</t>
  </si>
  <si>
    <t>MB102440</t>
  </si>
  <si>
    <t>MB102441</t>
  </si>
  <si>
    <t>MB102442</t>
  </si>
  <si>
    <t>MB102443</t>
  </si>
  <si>
    <t>MB102444</t>
  </si>
  <si>
    <t>MB102445</t>
  </si>
  <si>
    <t>MB102446</t>
  </si>
  <si>
    <t>MB102447</t>
  </si>
  <si>
    <t>MB102448</t>
  </si>
  <si>
    <t>MB102449</t>
  </si>
  <si>
    <t>MB102450</t>
  </si>
  <si>
    <t>MB102451</t>
  </si>
  <si>
    <t>MB102452</t>
  </si>
  <si>
    <t>MB102453</t>
  </si>
  <si>
    <t>MB102454</t>
  </si>
  <si>
    <t>MB102455</t>
  </si>
  <si>
    <t>MB102456</t>
  </si>
  <si>
    <t>MB102457</t>
  </si>
  <si>
    <t>MB102458</t>
  </si>
  <si>
    <t>MB102459</t>
  </si>
  <si>
    <t>MB102460</t>
  </si>
  <si>
    <t>MB102461</t>
  </si>
  <si>
    <t>MB102462</t>
  </si>
  <si>
    <t>MB102463</t>
  </si>
  <si>
    <t>MB102464</t>
  </si>
  <si>
    <t>MB102465</t>
  </si>
  <si>
    <t>MB102466</t>
  </si>
  <si>
    <t>MB102467</t>
  </si>
  <si>
    <t>MB102468</t>
  </si>
  <si>
    <t>MB102469</t>
  </si>
  <si>
    <t>MB102470</t>
  </si>
  <si>
    <t>MB102471</t>
  </si>
  <si>
    <t>MB102472</t>
  </si>
  <si>
    <t>MB102473</t>
  </si>
  <si>
    <t>MB102474</t>
  </si>
  <si>
    <t>MB102475</t>
  </si>
  <si>
    <t>MB102476</t>
  </si>
  <si>
    <t>MB102477</t>
  </si>
  <si>
    <t>MB102478</t>
  </si>
  <si>
    <t>MB102479</t>
  </si>
  <si>
    <t>MB102480</t>
  </si>
  <si>
    <t>MB102481</t>
  </si>
  <si>
    <t>MB102482</t>
  </si>
  <si>
    <t>MB102483</t>
  </si>
  <si>
    <t>MB102484</t>
  </si>
  <si>
    <t>MB102485</t>
  </si>
  <si>
    <t>MB102486</t>
  </si>
  <si>
    <t>MB102487</t>
  </si>
  <si>
    <t>MB102488</t>
  </si>
  <si>
    <t>MB102489</t>
  </si>
  <si>
    <t>MB102490</t>
  </si>
  <si>
    <t>MB102491</t>
  </si>
  <si>
    <t>MB102492</t>
  </si>
  <si>
    <t>MB102493</t>
  </si>
  <si>
    <t>MB102494</t>
  </si>
  <si>
    <t>MB102495</t>
  </si>
  <si>
    <t>Mumbai</t>
  </si>
  <si>
    <t>Andheri</t>
  </si>
  <si>
    <t>MB102496</t>
  </si>
  <si>
    <t>Borivali</t>
  </si>
  <si>
    <t>MB102497</t>
  </si>
  <si>
    <t>Goregaon</t>
  </si>
  <si>
    <t>MB102498</t>
  </si>
  <si>
    <t>Powai</t>
  </si>
  <si>
    <t>MB102499</t>
  </si>
  <si>
    <t>MB102500</t>
  </si>
  <si>
    <t>MB102501</t>
  </si>
  <si>
    <t>MB102502</t>
  </si>
  <si>
    <t>MB102503</t>
  </si>
  <si>
    <t>Thane</t>
  </si>
  <si>
    <t>MB102504</t>
  </si>
  <si>
    <t>MB102505</t>
  </si>
  <si>
    <t>MB102506</t>
  </si>
  <si>
    <t>MB102507</t>
  </si>
  <si>
    <t>MB102508</t>
  </si>
  <si>
    <t>Bandra</t>
  </si>
  <si>
    <t>MB102509</t>
  </si>
  <si>
    <t>MB102510</t>
  </si>
  <si>
    <t>MB102511</t>
  </si>
  <si>
    <t>MB102512</t>
  </si>
  <si>
    <t>MB102513</t>
  </si>
  <si>
    <t>MB102514</t>
  </si>
  <si>
    <t>MB102515</t>
  </si>
  <si>
    <t>MB102516</t>
  </si>
  <si>
    <t>MB102517</t>
  </si>
  <si>
    <t>MB102518</t>
  </si>
  <si>
    <t>MB102519</t>
  </si>
  <si>
    <t>MB102520</t>
  </si>
  <si>
    <t>MB102521</t>
  </si>
  <si>
    <t>MB102522</t>
  </si>
  <si>
    <t>MB102523</t>
  </si>
  <si>
    <t>MB102524</t>
  </si>
  <si>
    <t>MB102525</t>
  </si>
  <si>
    <t>MB102526</t>
  </si>
  <si>
    <t>MB102527</t>
  </si>
  <si>
    <t>MB102528</t>
  </si>
  <si>
    <t>MB102529</t>
  </si>
  <si>
    <t>MB102530</t>
  </si>
  <si>
    <t>MB102531</t>
  </si>
  <si>
    <t>MB102532</t>
  </si>
  <si>
    <t>MB102533</t>
  </si>
  <si>
    <t>MB102534</t>
  </si>
  <si>
    <t>MB102535</t>
  </si>
  <si>
    <t>MB102536</t>
  </si>
  <si>
    <t>MB102537</t>
  </si>
  <si>
    <t>MB102538</t>
  </si>
  <si>
    <t>MB102539</t>
  </si>
  <si>
    <t>MB102540</t>
  </si>
  <si>
    <t>MB102541</t>
  </si>
  <si>
    <t>MB102542</t>
  </si>
  <si>
    <t>MB102543</t>
  </si>
  <si>
    <t>MB102544</t>
  </si>
  <si>
    <t>MB102545</t>
  </si>
  <si>
    <t>MB102546</t>
  </si>
  <si>
    <t>MB102547</t>
  </si>
  <si>
    <t>MB102548</t>
  </si>
  <si>
    <t>MB102549</t>
  </si>
  <si>
    <t>MB102550</t>
  </si>
  <si>
    <t>MB102551</t>
  </si>
  <si>
    <t>MB102552</t>
  </si>
  <si>
    <t>MB102553</t>
  </si>
  <si>
    <t>MB102554</t>
  </si>
  <si>
    <t>MB102555</t>
  </si>
  <si>
    <t>MB102556</t>
  </si>
  <si>
    <t>MB102557</t>
  </si>
  <si>
    <t>MB102558</t>
  </si>
  <si>
    <t>MB102559</t>
  </si>
  <si>
    <t>MB102560</t>
  </si>
  <si>
    <t>MB102561</t>
  </si>
  <si>
    <t>MB102562</t>
  </si>
  <si>
    <t>MB102563</t>
  </si>
  <si>
    <t>MB102564</t>
  </si>
  <si>
    <t>MB102565</t>
  </si>
  <si>
    <t>MB102566</t>
  </si>
  <si>
    <t>MB102567</t>
  </si>
  <si>
    <t>MB102568</t>
  </si>
  <si>
    <t>MB102569</t>
  </si>
  <si>
    <t>MB102570</t>
  </si>
  <si>
    <t>MB102571</t>
  </si>
  <si>
    <t>MB102572</t>
  </si>
  <si>
    <t>MB102573</t>
  </si>
  <si>
    <t>MB102574</t>
  </si>
  <si>
    <t>MB102575</t>
  </si>
  <si>
    <t>MB102576</t>
  </si>
  <si>
    <t>MB102577</t>
  </si>
  <si>
    <t>MB102578</t>
  </si>
  <si>
    <t>MB102579</t>
  </si>
  <si>
    <t>MB102580</t>
  </si>
  <si>
    <t>MB102581</t>
  </si>
  <si>
    <t>MB102582</t>
  </si>
  <si>
    <t>MB102583</t>
  </si>
  <si>
    <t>MB102584</t>
  </si>
  <si>
    <t>MB102585</t>
  </si>
  <si>
    <t>MB102586</t>
  </si>
  <si>
    <t>MB102587</t>
  </si>
  <si>
    <t>MB102588</t>
  </si>
  <si>
    <t>MB102589</t>
  </si>
  <si>
    <t>MB102590</t>
  </si>
  <si>
    <t>MB102591</t>
  </si>
  <si>
    <t>MB102592</t>
  </si>
  <si>
    <t>MB102593</t>
  </si>
  <si>
    <t>MB102594</t>
  </si>
  <si>
    <t>MB102595</t>
  </si>
  <si>
    <t>MB102596</t>
  </si>
  <si>
    <t>MB102597</t>
  </si>
  <si>
    <t>MB102598</t>
  </si>
  <si>
    <t>MB102599</t>
  </si>
  <si>
    <t>MB102600</t>
  </si>
  <si>
    <t>MB102601</t>
  </si>
  <si>
    <t>MB102602</t>
  </si>
  <si>
    <t>MB102603</t>
  </si>
  <si>
    <t>MB102604</t>
  </si>
  <si>
    <t>MB102605</t>
  </si>
  <si>
    <t>MB102606</t>
  </si>
  <si>
    <t>MB102607</t>
  </si>
  <si>
    <t>MB102608</t>
  </si>
  <si>
    <t>MB102609</t>
  </si>
  <si>
    <t>MB102610</t>
  </si>
  <si>
    <t>MB102611</t>
  </si>
  <si>
    <t>MB102612</t>
  </si>
  <si>
    <t>MB102613</t>
  </si>
  <si>
    <t>MB102614</t>
  </si>
  <si>
    <t>MB102615</t>
  </si>
  <si>
    <t>MB102616</t>
  </si>
  <si>
    <t>MB102617</t>
  </si>
  <si>
    <t>MB102618</t>
  </si>
  <si>
    <t>MB102619</t>
  </si>
  <si>
    <t>MB102620</t>
  </si>
  <si>
    <t>MB102621</t>
  </si>
  <si>
    <t>MB102622</t>
  </si>
  <si>
    <t>MB102623</t>
  </si>
  <si>
    <t>MB102624</t>
  </si>
  <si>
    <t>MB102625</t>
  </si>
  <si>
    <t>MB102626</t>
  </si>
  <si>
    <t>MB102627</t>
  </si>
  <si>
    <t>MB102628</t>
  </si>
  <si>
    <t>MB102629</t>
  </si>
  <si>
    <t>MB102630</t>
  </si>
  <si>
    <t>MB102631</t>
  </si>
  <si>
    <t>MB102632</t>
  </si>
  <si>
    <t>MB102633</t>
  </si>
  <si>
    <t>MB102634</t>
  </si>
  <si>
    <t>MB102635</t>
  </si>
  <si>
    <t>MB102636</t>
  </si>
  <si>
    <t>MB102637</t>
  </si>
  <si>
    <t>MB102638</t>
  </si>
  <si>
    <t>MB102639</t>
  </si>
  <si>
    <t>MB102640</t>
  </si>
  <si>
    <t>MB102641</t>
  </si>
  <si>
    <t>MB102642</t>
  </si>
  <si>
    <t>MB102643</t>
  </si>
  <si>
    <t>MB102644</t>
  </si>
  <si>
    <t>MB102645</t>
  </si>
  <si>
    <t>MB102646</t>
  </si>
  <si>
    <t>MB102647</t>
  </si>
  <si>
    <t>MB102648</t>
  </si>
  <si>
    <t>MB102649</t>
  </si>
  <si>
    <t>Pune</t>
  </si>
  <si>
    <t>Viman Nagar</t>
  </si>
  <si>
    <t>MB102650</t>
  </si>
  <si>
    <t>MB102651</t>
  </si>
  <si>
    <t>Wakad</t>
  </si>
  <si>
    <t>MB102652</t>
  </si>
  <si>
    <t>Hiniewadi</t>
  </si>
  <si>
    <t>MB102653</t>
  </si>
  <si>
    <t>MB102654</t>
  </si>
  <si>
    <t>MB102655</t>
  </si>
  <si>
    <t>MB102656</t>
  </si>
  <si>
    <t>MB102657</t>
  </si>
  <si>
    <t>MB102658</t>
  </si>
  <si>
    <t>MB102659</t>
  </si>
  <si>
    <t>Kharadi</t>
  </si>
  <si>
    <t>MB102660</t>
  </si>
  <si>
    <t>Baner</t>
  </si>
  <si>
    <t>MB102661</t>
  </si>
  <si>
    <t>MB102662</t>
  </si>
  <si>
    <t>MB102663</t>
  </si>
  <si>
    <t>MB102664</t>
  </si>
  <si>
    <t>MB102665</t>
  </si>
  <si>
    <t>MB102666</t>
  </si>
  <si>
    <t>MB102667</t>
  </si>
  <si>
    <t>MB102668</t>
  </si>
  <si>
    <t>MB102669</t>
  </si>
  <si>
    <t>MB102670</t>
  </si>
  <si>
    <t>MB102671</t>
  </si>
  <si>
    <t>Kothrud</t>
  </si>
  <si>
    <t>MB102672</t>
  </si>
  <si>
    <t>MB102673</t>
  </si>
  <si>
    <t>MB102674</t>
  </si>
  <si>
    <t>MB102675</t>
  </si>
  <si>
    <t>MB102676</t>
  </si>
  <si>
    <t>MB102677</t>
  </si>
  <si>
    <t>MB102678</t>
  </si>
  <si>
    <t>MB102679</t>
  </si>
  <si>
    <t>MB102680</t>
  </si>
  <si>
    <t>MB102681</t>
  </si>
  <si>
    <t>MB102682</t>
  </si>
  <si>
    <t>MB102683</t>
  </si>
  <si>
    <t>MB102684</t>
  </si>
  <si>
    <t>MB102685</t>
  </si>
  <si>
    <t>MB102686</t>
  </si>
  <si>
    <t>MB102687</t>
  </si>
  <si>
    <t>MB102688</t>
  </si>
  <si>
    <t>MB102689</t>
  </si>
  <si>
    <t>MB102690</t>
  </si>
  <si>
    <t>MB102691</t>
  </si>
  <si>
    <t>MB102692</t>
  </si>
  <si>
    <t>MB102693</t>
  </si>
  <si>
    <t>MB102694</t>
  </si>
  <si>
    <t>MB102695</t>
  </si>
  <si>
    <t>MB102696</t>
  </si>
  <si>
    <t>MB102697</t>
  </si>
  <si>
    <t>MB102698</t>
  </si>
  <si>
    <t>MB102699</t>
  </si>
  <si>
    <t>MB102700</t>
  </si>
  <si>
    <t>MB102701</t>
  </si>
  <si>
    <t>MB102702</t>
  </si>
  <si>
    <t>MB102703</t>
  </si>
  <si>
    <t>MB102704</t>
  </si>
  <si>
    <t>MB102705</t>
  </si>
  <si>
    <t>MB102706</t>
  </si>
  <si>
    <t>MB102707</t>
  </si>
  <si>
    <t>MB102708</t>
  </si>
  <si>
    <t>MB102709</t>
  </si>
  <si>
    <t>MB102710</t>
  </si>
  <si>
    <t>MB102711</t>
  </si>
  <si>
    <t>MB102712</t>
  </si>
  <si>
    <t>MB102713</t>
  </si>
  <si>
    <t>MB102714</t>
  </si>
  <si>
    <t>MB102715</t>
  </si>
  <si>
    <t>MB102716</t>
  </si>
  <si>
    <t>MB102717</t>
  </si>
  <si>
    <t>MB102718</t>
  </si>
  <si>
    <t>MB102719</t>
  </si>
  <si>
    <t>MB102720</t>
  </si>
  <si>
    <t>MB102721</t>
  </si>
  <si>
    <t>MB102722</t>
  </si>
  <si>
    <t>MB102723</t>
  </si>
  <si>
    <t>MB102724</t>
  </si>
  <si>
    <t>MB102725</t>
  </si>
  <si>
    <t>MB102726</t>
  </si>
  <si>
    <t>MB102727</t>
  </si>
  <si>
    <t>MB102728</t>
  </si>
  <si>
    <t>MB102729</t>
  </si>
  <si>
    <t>MB102730</t>
  </si>
  <si>
    <t>MB102731</t>
  </si>
  <si>
    <t>MB102732</t>
  </si>
  <si>
    <t>MB102733</t>
  </si>
  <si>
    <t>MB102734</t>
  </si>
  <si>
    <t>MB102735</t>
  </si>
  <si>
    <t>MB102736</t>
  </si>
  <si>
    <t>MB102737</t>
  </si>
  <si>
    <t>MB102738</t>
  </si>
  <si>
    <t>MB102739</t>
  </si>
  <si>
    <t>MB102740</t>
  </si>
  <si>
    <t>MB102741</t>
  </si>
  <si>
    <t>MB102742</t>
  </si>
  <si>
    <t>MB102743</t>
  </si>
  <si>
    <t>MB102744</t>
  </si>
  <si>
    <t>MB102745</t>
  </si>
  <si>
    <t>MB102746</t>
  </si>
  <si>
    <t>MB102747</t>
  </si>
  <si>
    <t>MB102748</t>
  </si>
  <si>
    <t>MB102749</t>
  </si>
  <si>
    <t>MB102750</t>
  </si>
  <si>
    <t>MB102751</t>
  </si>
  <si>
    <t>MB102752</t>
  </si>
  <si>
    <t>MB102753</t>
  </si>
  <si>
    <t>MB102754</t>
  </si>
  <si>
    <t>MB102755</t>
  </si>
  <si>
    <t>MB102756</t>
  </si>
  <si>
    <t>MB102757</t>
  </si>
  <si>
    <t>MB102758</t>
  </si>
  <si>
    <t>MB102759</t>
  </si>
  <si>
    <t>MB102760</t>
  </si>
  <si>
    <t>MB102761</t>
  </si>
  <si>
    <t>MB102762</t>
  </si>
  <si>
    <t>MB102763</t>
  </si>
  <si>
    <t>MB102764</t>
  </si>
  <si>
    <t>MB102765</t>
  </si>
  <si>
    <t>MB102766</t>
  </si>
  <si>
    <t>MB102767</t>
  </si>
  <si>
    <t>MB102768</t>
  </si>
  <si>
    <t>MB102769</t>
  </si>
  <si>
    <t>MB102770</t>
  </si>
  <si>
    <t>MB102771</t>
  </si>
  <si>
    <t>MB102772</t>
  </si>
  <si>
    <t>MB102773</t>
  </si>
  <si>
    <t>MB102774</t>
  </si>
  <si>
    <t>MB102775</t>
  </si>
  <si>
    <t>MB102776</t>
  </si>
  <si>
    <t>MB102777</t>
  </si>
  <si>
    <t>MB102778</t>
  </si>
  <si>
    <t>MB102779</t>
  </si>
  <si>
    <t>MB102780</t>
  </si>
  <si>
    <t>MB102781</t>
  </si>
  <si>
    <t>MB102782</t>
  </si>
  <si>
    <t>MB102783</t>
  </si>
  <si>
    <t>MB102784</t>
  </si>
  <si>
    <t>MB102785</t>
  </si>
  <si>
    <t>MB102786</t>
  </si>
  <si>
    <t>MB102787</t>
  </si>
  <si>
    <t>MB102788</t>
  </si>
  <si>
    <t>MB102789</t>
  </si>
  <si>
    <t>MB102790</t>
  </si>
  <si>
    <t>MB102791</t>
  </si>
  <si>
    <t>MB102792</t>
  </si>
  <si>
    <t>MB102793</t>
  </si>
  <si>
    <t>MB102794</t>
  </si>
  <si>
    <t>MB102795</t>
  </si>
  <si>
    <t>MB102796</t>
  </si>
  <si>
    <t>MB102797</t>
  </si>
  <si>
    <t>MB102798</t>
  </si>
  <si>
    <t>MB102799</t>
  </si>
  <si>
    <t>MB102800</t>
  </si>
  <si>
    <t>MB102801</t>
  </si>
  <si>
    <t>MB102802</t>
  </si>
  <si>
    <t>MB102803</t>
  </si>
  <si>
    <t>MB102804</t>
  </si>
  <si>
    <t>MB102805</t>
  </si>
  <si>
    <t>MB102806</t>
  </si>
  <si>
    <t>MB102807</t>
  </si>
  <si>
    <t>MB102808</t>
  </si>
  <si>
    <t>MB102809</t>
  </si>
  <si>
    <t>MB102810</t>
  </si>
  <si>
    <t>MB102811</t>
  </si>
  <si>
    <t>MB102812</t>
  </si>
  <si>
    <t>MB102813</t>
  </si>
  <si>
    <t>MB102814</t>
  </si>
  <si>
    <t>MB102815</t>
  </si>
  <si>
    <t>MB102816</t>
  </si>
  <si>
    <t>MB102817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</si>
</sst>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14" fontId="0" fillId="0" borderId="4" xfId="0" applyNumberFormat="1" applyBorder="1"/>
    <xf numFmtId="14" fontId="0" fillId="0" borderId="2" xfId="0" applyNumberFormat="1" applyBorder="1"/>
    <xf numFmtId="0" fontId="1" fillId="2" borderId="6" xfId="0" applyFont="1" applyFill="1" applyBorder="1"/>
  </cellXfs>
  <cellStyles count="1">
    <cellStyle name="Normal" xfId="0" builtinId="0"/>
  </cellStyles>
  <dxfs count="1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1DCD7-3558-432F-A162-8E3C858E2ACB}" name="Source_data" displayName="Source_data" ref="A1:O1531" totalsRowShown="0" headerRowDxfId="18" headerRowBorderDxfId="17" tableBorderDxfId="16" totalsRowBorderDxfId="15">
  <tableColumns count="15">
    <tableColumn id="1" xr3:uid="{CD16F659-A80F-42D8-A0A3-1164939C2F18}" name="Listing_iD" dataDxfId="14"/>
    <tableColumn id="2" xr3:uid="{97E3AA98-E7A9-4BC0-8F04-F05AE768CF97}" name="Location" dataDxfId="13"/>
    <tableColumn id="3" xr3:uid="{7EE1656B-9096-496B-A577-7154991719C8}" name="Locality" dataDxfId="12"/>
    <tableColumn id="4" xr3:uid="{86F5BA2D-4820-4FB8-8A08-A63703124CF1}" name="BHK" dataDxfId="11"/>
    <tableColumn id="5" xr3:uid="{96E97B26-8516-4A9E-BF23-81AB796428E5}" name="Size" dataDxfId="10"/>
    <tableColumn id="6" xr3:uid="{A7587546-DCB2-42C1-BC3D-A82DA164F071}" name="Price" dataDxfId="9"/>
    <tableColumn id="7" xr3:uid="{A70019E3-23CA-4A62-8145-358FEE6D83BF}" name="Bathroom" dataDxfId="8"/>
    <tableColumn id="8" xr3:uid="{F40CBD2F-E544-463B-97A9-3A544DF21BA2}" name="Balcony" dataDxfId="7"/>
    <tableColumn id="9" xr3:uid="{A41C8C0E-972F-4DFB-A6A7-5AF2762E2D61}" name="Furnished" dataDxfId="6"/>
    <tableColumn id="10" xr3:uid="{461DBD6C-65BC-4EFA-9C66-AD567AB0D6AB}" name="Transaction" dataDxfId="5"/>
    <tableColumn id="11" xr3:uid="{7918DA47-7271-4634-8F29-4DA825452AC8}" name="Seller_Type" dataDxfId="4"/>
    <tableColumn id="12" xr3:uid="{80CCD485-B49D-4D82-BE55-267436A6A81E}" name="Listing_Date" dataDxfId="3"/>
    <tableColumn id="15" xr3:uid="{631AFD79-AE50-47B4-83BF-27C5A8DB53EF}" name="Month" dataDxfId="2">
      <calculatedColumnFormula>TEXT(Source_data[[#This Row],[Listing_Date]],"mmm-yy")</calculatedColumnFormula>
    </tableColumn>
    <tableColumn id="13" xr3:uid="{F1FE3EBD-BDD9-48DA-A76E-3528DD9D4EB9}" name="Price Per SQFT" dataDxfId="1">
      <calculatedColumnFormula>F2/E2</calculatedColumnFormula>
    </tableColumn>
    <tableColumn id="14" xr3:uid="{AA7336C0-DE7A-4FDD-BE98-341AB5780957}" name="Commission" dataDxfId="0">
      <calculatedColumnFormula array="1">_xlfn.IFS(AND(K2="Broker",J2="Resale"),F2*0.5,AND(K2="Owner",J2="Resale"),F2*0,AND(K2="Builder",J2="Resale"),F2*0.3,AND(J2="New",K2="Broker"),F2*0.1,AND(J2="New",K2="Owner"),F2*0,AND(J2="New",K2="Builder"),F2*0.5)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7D95-F358-4009-B7A2-7D6ADD79079F}">
  <sheetPr>
    <tabColor rgb="FF00B050"/>
  </sheetPr>
  <dimension ref="A1:O1531"/>
  <sheetViews>
    <sheetView tabSelected="1" workbookViewId="0">
      <selection activeCell="F21" sqref="F21"/>
    </sheetView>
  </sheetViews>
  <sheetFormatPr defaultRowHeight="14.4" x14ac:dyDescent="0.3"/>
  <cols>
    <col min="1" max="1" width="9.77734375" bestFit="1" customWidth="1"/>
    <col min="2" max="2" width="10.6640625" bestFit="1" customWidth="1"/>
    <col min="3" max="3" width="15.21875" bestFit="1" customWidth="1"/>
    <col min="11" max="11" width="10.6640625" bestFit="1" customWidth="1"/>
    <col min="12" max="12" width="11.21875" bestFit="1" customWidth="1"/>
    <col min="14" max="14" width="13.109375" bestFit="1" customWidth="1"/>
    <col min="15" max="15" width="11.21875" bestFit="1" customWidth="1"/>
  </cols>
  <sheetData>
    <row r="1" spans="1:15" x14ac:dyDescent="0.3">
      <c r="A1" s="5" t="s">
        <v>0</v>
      </c>
      <c r="B1" s="11" t="s">
        <v>1</v>
      </c>
      <c r="C1" s="11" t="s">
        <v>2</v>
      </c>
      <c r="D1" s="1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1" t="s">
        <v>10</v>
      </c>
      <c r="L1" s="11" t="s">
        <v>11</v>
      </c>
      <c r="M1" s="11" t="s">
        <v>12</v>
      </c>
      <c r="N1" s="6" t="s">
        <v>13</v>
      </c>
      <c r="O1" s="7" t="s">
        <v>14</v>
      </c>
    </row>
    <row r="2" spans="1:15" x14ac:dyDescent="0.3">
      <c r="A2" s="8" t="s">
        <v>15</v>
      </c>
      <c r="B2" s="4" t="s">
        <v>16</v>
      </c>
      <c r="C2" s="4" t="s">
        <v>17</v>
      </c>
      <c r="D2" s="4">
        <v>3</v>
      </c>
      <c r="E2" s="4">
        <v>1393</v>
      </c>
      <c r="F2" s="4">
        <v>6190887</v>
      </c>
      <c r="G2" s="4">
        <v>3</v>
      </c>
      <c r="H2" s="4">
        <v>0</v>
      </c>
      <c r="I2" s="4" t="s">
        <v>18</v>
      </c>
      <c r="J2" s="4" t="s">
        <v>19</v>
      </c>
      <c r="K2" s="4" t="s">
        <v>20</v>
      </c>
      <c r="L2" s="9">
        <v>45398</v>
      </c>
      <c r="M2" s="9" t="str">
        <f>TEXT(Source_data[[#This Row],[Listing_Date]],"mmm-yy")</f>
        <v>Apr-24</v>
      </c>
      <c r="N2" s="4">
        <f>F2/E2</f>
        <v>4444.2835606604449</v>
      </c>
      <c r="O2" s="3" cm="1">
        <f t="array" ref="O2">_xlfn.IFS(AND(K2="Broker",J2="Resale"),F2*0.5,AND(K2="Owner",J2="Resale"),F2*0,AND(K2="Builder",J2="Resale"),F2*0.3,AND(J2="New",K2="Broker"),F2*0.1,AND(J2="New",K2="Owner"),F2*0,AND(J2="New",K2="Builder"),F2*0.5)</f>
        <v>619088.70000000007</v>
      </c>
    </row>
    <row r="3" spans="1:15" x14ac:dyDescent="0.3">
      <c r="A3" s="8" t="s">
        <v>21</v>
      </c>
      <c r="B3" s="4" t="s">
        <v>16</v>
      </c>
      <c r="C3" s="4" t="s">
        <v>22</v>
      </c>
      <c r="D3" s="4">
        <v>1</v>
      </c>
      <c r="E3" s="4">
        <v>379</v>
      </c>
      <c r="F3" s="4">
        <v>2326490</v>
      </c>
      <c r="G3" s="4">
        <v>2</v>
      </c>
      <c r="H3" s="4">
        <v>2</v>
      </c>
      <c r="I3" s="4" t="s">
        <v>8</v>
      </c>
      <c r="J3" s="4" t="s">
        <v>23</v>
      </c>
      <c r="K3" s="4" t="s">
        <v>24</v>
      </c>
      <c r="L3" s="9">
        <v>45590</v>
      </c>
      <c r="M3" s="9" t="str">
        <f>TEXT(Source_data[[#This Row],[Listing_Date]],"mmm-yy")</f>
        <v>Oct-24</v>
      </c>
      <c r="N3" s="4">
        <f t="shared" ref="N3:N66" si="0">F3/E3</f>
        <v>6138.4960422163585</v>
      </c>
      <c r="O3" s="3" cm="1">
        <f t="array" ref="O3">_xlfn.IFS(AND(K3="Broker",J3="Resale"),F3*0.5,AND(K3="Owner",J3="Resale"),F3*0,AND(K3="Builder",J3="Resale"),F3*0.3,AND(J3="New",K3="Broker"),F3*0.1,AND(J3="New",K3="Owner"),F3*0,AND(J3="New",K3="Builder"),F3*0.5)</f>
        <v>697947</v>
      </c>
    </row>
    <row r="4" spans="1:15" x14ac:dyDescent="0.3">
      <c r="A4" s="8" t="s">
        <v>25</v>
      </c>
      <c r="B4" s="4" t="s">
        <v>16</v>
      </c>
      <c r="C4" s="4" t="s">
        <v>26</v>
      </c>
      <c r="D4" s="4">
        <v>1</v>
      </c>
      <c r="E4" s="4">
        <v>350</v>
      </c>
      <c r="F4" s="4">
        <v>2297092</v>
      </c>
      <c r="G4" s="4">
        <v>1</v>
      </c>
      <c r="H4" s="4">
        <v>2</v>
      </c>
      <c r="I4" s="4" t="s">
        <v>27</v>
      </c>
      <c r="J4" s="4" t="s">
        <v>19</v>
      </c>
      <c r="K4" s="4" t="s">
        <v>24</v>
      </c>
      <c r="L4" s="9">
        <v>44938</v>
      </c>
      <c r="M4" s="9" t="str">
        <f>TEXT(Source_data[[#This Row],[Listing_Date]],"mmm-yy")</f>
        <v>Jan-23</v>
      </c>
      <c r="N4" s="4">
        <f t="shared" si="0"/>
        <v>6563.12</v>
      </c>
      <c r="O4" s="3" cm="1">
        <f t="array" ref="O4">_xlfn.IFS(AND(K4="Broker",J4="Resale"),F4*0.5,AND(K4="Owner",J4="Resale"),F4*0,AND(K4="Builder",J4="Resale"),F4*0.3,AND(J4="New",K4="Broker"),F4*0.1,AND(J4="New",K4="Owner"),F4*0,AND(J4="New",K4="Builder"),F4*0.5)</f>
        <v>1148546</v>
      </c>
    </row>
    <row r="5" spans="1:15" x14ac:dyDescent="0.3">
      <c r="A5" s="8" t="s">
        <v>28</v>
      </c>
      <c r="B5" s="4" t="s">
        <v>16</v>
      </c>
      <c r="C5" s="4" t="s">
        <v>29</v>
      </c>
      <c r="D5" s="4">
        <v>2</v>
      </c>
      <c r="E5" s="4">
        <v>923</v>
      </c>
      <c r="F5" s="4">
        <v>4819371</v>
      </c>
      <c r="G5" s="4">
        <v>2</v>
      </c>
      <c r="H5" s="4">
        <v>2</v>
      </c>
      <c r="I5" s="4" t="s">
        <v>18</v>
      </c>
      <c r="J5" s="4" t="s">
        <v>19</v>
      </c>
      <c r="K5" s="4" t="s">
        <v>24</v>
      </c>
      <c r="L5" s="9">
        <v>45155</v>
      </c>
      <c r="M5" s="9" t="str">
        <f>TEXT(Source_data[[#This Row],[Listing_Date]],"mmm-yy")</f>
        <v>Aug-23</v>
      </c>
      <c r="N5" s="4">
        <f t="shared" si="0"/>
        <v>5221.4203683640308</v>
      </c>
      <c r="O5" s="3" cm="1">
        <f t="array" ref="O5">_xlfn.IFS(AND(K5="Broker",J5="Resale"),F5*0.5,AND(K5="Owner",J5="Resale"),F5*0,AND(K5="Builder",J5="Resale"),F5*0.3,AND(J5="New",K5="Broker"),F5*0.1,AND(J5="New",K5="Owner"),F5*0,AND(J5="New",K5="Builder"),F5*0.5)</f>
        <v>2409685.5</v>
      </c>
    </row>
    <row r="6" spans="1:15" x14ac:dyDescent="0.3">
      <c r="A6" s="8" t="s">
        <v>30</v>
      </c>
      <c r="B6" s="4" t="s">
        <v>16</v>
      </c>
      <c r="C6" s="4" t="s">
        <v>31</v>
      </c>
      <c r="D6" s="4">
        <v>3</v>
      </c>
      <c r="E6" s="4">
        <v>873</v>
      </c>
      <c r="F6" s="4">
        <v>4265127</v>
      </c>
      <c r="G6" s="4">
        <v>3</v>
      </c>
      <c r="H6" s="4">
        <v>1</v>
      </c>
      <c r="I6" s="4" t="s">
        <v>8</v>
      </c>
      <c r="J6" s="4" t="s">
        <v>19</v>
      </c>
      <c r="K6" s="4" t="s">
        <v>20</v>
      </c>
      <c r="L6" s="9">
        <v>45764</v>
      </c>
      <c r="M6" s="9" t="str">
        <f>TEXT(Source_data[[#This Row],[Listing_Date]],"mmm-yy")</f>
        <v>Apr-25</v>
      </c>
      <c r="N6" s="4">
        <f t="shared" si="0"/>
        <v>4885.5979381443303</v>
      </c>
      <c r="O6" s="3" cm="1">
        <f t="array" ref="O6">_xlfn.IFS(AND(K6="Broker",J6="Resale"),F6*0.5,AND(K6="Owner",J6="Resale"),F6*0,AND(K6="Builder",J6="Resale"),F6*0.3,AND(J6="New",K6="Broker"),F6*0.1,AND(J6="New",K6="Owner"),F6*0,AND(J6="New",K6="Builder"),F6*0.5)</f>
        <v>426512.7</v>
      </c>
    </row>
    <row r="7" spans="1:15" x14ac:dyDescent="0.3">
      <c r="A7" s="8" t="s">
        <v>32</v>
      </c>
      <c r="B7" s="4" t="s">
        <v>16</v>
      </c>
      <c r="C7" s="4" t="s">
        <v>31</v>
      </c>
      <c r="D7" s="4">
        <v>3</v>
      </c>
      <c r="E7" s="4">
        <v>1584</v>
      </c>
      <c r="F7" s="4">
        <v>11757499</v>
      </c>
      <c r="G7" s="4">
        <v>4</v>
      </c>
      <c r="H7" s="4">
        <v>1</v>
      </c>
      <c r="I7" s="4" t="s">
        <v>18</v>
      </c>
      <c r="J7" s="4" t="s">
        <v>19</v>
      </c>
      <c r="K7" s="4" t="s">
        <v>20</v>
      </c>
      <c r="L7" s="9">
        <v>45322</v>
      </c>
      <c r="M7" s="9" t="str">
        <f>TEXT(Source_data[[#This Row],[Listing_Date]],"mmm-yy")</f>
        <v>Jan-24</v>
      </c>
      <c r="N7" s="4">
        <f t="shared" si="0"/>
        <v>7422.6635101010097</v>
      </c>
      <c r="O7" s="3" cm="1">
        <f t="array" ref="O7">_xlfn.IFS(AND(K7="Broker",J7="Resale"),F7*0.5,AND(K7="Owner",J7="Resale"),F7*0,AND(K7="Builder",J7="Resale"),F7*0.3,AND(J7="New",K7="Broker"),F7*0.1,AND(J7="New",K7="Owner"),F7*0,AND(J7="New",K7="Builder"),F7*0.5)</f>
        <v>1175749.9000000001</v>
      </c>
    </row>
    <row r="8" spans="1:15" x14ac:dyDescent="0.3">
      <c r="A8" s="8" t="s">
        <v>33</v>
      </c>
      <c r="B8" s="4" t="s">
        <v>16</v>
      </c>
      <c r="C8" s="4" t="s">
        <v>31</v>
      </c>
      <c r="D8" s="4">
        <v>5</v>
      </c>
      <c r="E8" s="4">
        <v>2512</v>
      </c>
      <c r="F8" s="4">
        <v>11861959</v>
      </c>
      <c r="G8" s="4">
        <v>3</v>
      </c>
      <c r="H8" s="4">
        <v>2</v>
      </c>
      <c r="I8" s="4" t="s">
        <v>27</v>
      </c>
      <c r="J8" s="4" t="s">
        <v>19</v>
      </c>
      <c r="K8" s="4" t="s">
        <v>20</v>
      </c>
      <c r="L8" s="9">
        <v>44996</v>
      </c>
      <c r="M8" s="9" t="str">
        <f>TEXT(Source_data[[#This Row],[Listing_Date]],"mmm-yy")</f>
        <v>Mar-23</v>
      </c>
      <c r="N8" s="4">
        <f t="shared" si="0"/>
        <v>4722.1174363057326</v>
      </c>
      <c r="O8" s="3" cm="1">
        <f t="array" ref="O8">_xlfn.IFS(AND(K8="Broker",J8="Resale"),F8*0.5,AND(K8="Owner",J8="Resale"),F8*0,AND(K8="Builder",J8="Resale"),F8*0.3,AND(J8="New",K8="Broker"),F8*0.1,AND(J8="New",K8="Owner"),F8*0,AND(J8="New",K8="Builder"),F8*0.5)</f>
        <v>1186195.9000000001</v>
      </c>
    </row>
    <row r="9" spans="1:15" x14ac:dyDescent="0.3">
      <c r="A9" s="8" t="s">
        <v>34</v>
      </c>
      <c r="B9" s="4" t="s">
        <v>16</v>
      </c>
      <c r="C9" s="4" t="s">
        <v>35</v>
      </c>
      <c r="D9" s="4">
        <v>4</v>
      </c>
      <c r="E9" s="4">
        <v>1048</v>
      </c>
      <c r="F9" s="4">
        <v>6757183</v>
      </c>
      <c r="G9" s="4">
        <v>2</v>
      </c>
      <c r="H9" s="4">
        <v>2</v>
      </c>
      <c r="I9" s="4" t="s">
        <v>27</v>
      </c>
      <c r="J9" s="4" t="s">
        <v>23</v>
      </c>
      <c r="K9" s="4" t="s">
        <v>36</v>
      </c>
      <c r="L9" s="9">
        <v>45487</v>
      </c>
      <c r="M9" s="9" t="str">
        <f>TEXT(Source_data[[#This Row],[Listing_Date]],"mmm-yy")</f>
        <v>Jul-24</v>
      </c>
      <c r="N9" s="4">
        <f t="shared" si="0"/>
        <v>6447.6937022900765</v>
      </c>
      <c r="O9" s="3" cm="1">
        <f t="array" ref="O9">_xlfn.IFS(AND(K9="Broker",J9="Resale"),F9*0.5,AND(K9="Owner",J9="Resale"),F9*0,AND(K9="Builder",J9="Resale"),F9*0.3,AND(J9="New",K9="Broker"),F9*0.1,AND(J9="New",K9="Owner"),F9*0,AND(J9="New",K9="Builder"),F9*0.5)</f>
        <v>0</v>
      </c>
    </row>
    <row r="10" spans="1:15" x14ac:dyDescent="0.3">
      <c r="A10" s="8" t="s">
        <v>37</v>
      </c>
      <c r="B10" s="4" t="s">
        <v>16</v>
      </c>
      <c r="C10" s="4" t="s">
        <v>31</v>
      </c>
      <c r="D10" s="4">
        <v>2</v>
      </c>
      <c r="E10" s="4">
        <v>688</v>
      </c>
      <c r="F10" s="4">
        <v>4726679</v>
      </c>
      <c r="G10" s="4">
        <v>2</v>
      </c>
      <c r="H10" s="4">
        <v>3</v>
      </c>
      <c r="I10" s="4" t="s">
        <v>18</v>
      </c>
      <c r="J10" s="4" t="s">
        <v>19</v>
      </c>
      <c r="K10" s="4" t="s">
        <v>20</v>
      </c>
      <c r="L10" s="9">
        <v>45474</v>
      </c>
      <c r="M10" s="9" t="str">
        <f>TEXT(Source_data[[#This Row],[Listing_Date]],"mmm-yy")</f>
        <v>Jul-24</v>
      </c>
      <c r="N10" s="4">
        <f t="shared" si="0"/>
        <v>6870.1729651162786</v>
      </c>
      <c r="O10" s="3" cm="1">
        <f t="array" ref="O10">_xlfn.IFS(AND(K10="Broker",J10="Resale"),F10*0.5,AND(K10="Owner",J10="Resale"),F10*0,AND(K10="Builder",J10="Resale"),F10*0.3,AND(J10="New",K10="Broker"),F10*0.1,AND(J10="New",K10="Owner"),F10*0,AND(J10="New",K10="Builder"),F10*0.5)</f>
        <v>472667.9</v>
      </c>
    </row>
    <row r="11" spans="1:15" x14ac:dyDescent="0.3">
      <c r="A11" s="8" t="s">
        <v>38</v>
      </c>
      <c r="B11" s="4" t="s">
        <v>16</v>
      </c>
      <c r="C11" s="4" t="s">
        <v>31</v>
      </c>
      <c r="D11" s="4">
        <v>2</v>
      </c>
      <c r="E11" s="4">
        <v>716</v>
      </c>
      <c r="F11" s="4">
        <v>3772027</v>
      </c>
      <c r="G11" s="4">
        <v>2</v>
      </c>
      <c r="H11" s="4">
        <v>0</v>
      </c>
      <c r="I11" s="4" t="s">
        <v>27</v>
      </c>
      <c r="J11" s="4" t="s">
        <v>23</v>
      </c>
      <c r="K11" s="4" t="s">
        <v>20</v>
      </c>
      <c r="L11" s="9">
        <v>45671</v>
      </c>
      <c r="M11" s="9" t="str">
        <f>TEXT(Source_data[[#This Row],[Listing_Date]],"mmm-yy")</f>
        <v>Jan-25</v>
      </c>
      <c r="N11" s="4">
        <f t="shared" si="0"/>
        <v>5268.1941340782123</v>
      </c>
      <c r="O11" s="3" cm="1">
        <f t="array" ref="O11">_xlfn.IFS(AND(K11="Broker",J11="Resale"),F11*0.5,AND(K11="Owner",J11="Resale"),F11*0,AND(K11="Builder",J11="Resale"),F11*0.3,AND(J11="New",K11="Broker"),F11*0.1,AND(J11="New",K11="Owner"),F11*0,AND(J11="New",K11="Builder"),F11*0.5)</f>
        <v>1886013.5</v>
      </c>
    </row>
    <row r="12" spans="1:15" x14ac:dyDescent="0.3">
      <c r="A12" s="8" t="s">
        <v>39</v>
      </c>
      <c r="B12" s="4" t="s">
        <v>16</v>
      </c>
      <c r="C12" s="4" t="s">
        <v>26</v>
      </c>
      <c r="D12" s="4">
        <v>5</v>
      </c>
      <c r="E12" s="4">
        <v>1639</v>
      </c>
      <c r="F12" s="4">
        <v>10045410</v>
      </c>
      <c r="G12" s="4">
        <v>4</v>
      </c>
      <c r="H12" s="4">
        <v>1</v>
      </c>
      <c r="I12" s="4" t="s">
        <v>27</v>
      </c>
      <c r="J12" s="4" t="s">
        <v>23</v>
      </c>
      <c r="K12" s="4" t="s">
        <v>24</v>
      </c>
      <c r="L12" s="9">
        <v>45456</v>
      </c>
      <c r="M12" s="9" t="str">
        <f>TEXT(Source_data[[#This Row],[Listing_Date]],"mmm-yy")</f>
        <v>Jun-24</v>
      </c>
      <c r="N12" s="4">
        <f t="shared" si="0"/>
        <v>6128.9871873093352</v>
      </c>
      <c r="O12" s="3" cm="1">
        <f t="array" ref="O12">_xlfn.IFS(AND(K12="Broker",J12="Resale"),F12*0.5,AND(K12="Owner",J12="Resale"),F12*0,AND(K12="Builder",J12="Resale"),F12*0.3,AND(J12="New",K12="Broker"),F12*0.1,AND(J12="New",K12="Owner"),F12*0,AND(J12="New",K12="Builder"),F12*0.5)</f>
        <v>3013623</v>
      </c>
    </row>
    <row r="13" spans="1:15" x14ac:dyDescent="0.3">
      <c r="A13" s="8" t="s">
        <v>40</v>
      </c>
      <c r="B13" s="4" t="s">
        <v>16</v>
      </c>
      <c r="C13" s="4" t="s">
        <v>35</v>
      </c>
      <c r="D13" s="4">
        <v>3</v>
      </c>
      <c r="E13" s="4">
        <v>838</v>
      </c>
      <c r="F13" s="4">
        <v>5488810</v>
      </c>
      <c r="G13" s="4">
        <v>2</v>
      </c>
      <c r="H13" s="4">
        <v>1</v>
      </c>
      <c r="I13" s="4" t="s">
        <v>18</v>
      </c>
      <c r="J13" s="4" t="s">
        <v>19</v>
      </c>
      <c r="K13" s="4" t="s">
        <v>36</v>
      </c>
      <c r="L13" s="9">
        <v>45608</v>
      </c>
      <c r="M13" s="9" t="str">
        <f>TEXT(Source_data[[#This Row],[Listing_Date]],"mmm-yy")</f>
        <v>Nov-24</v>
      </c>
      <c r="N13" s="4">
        <f t="shared" si="0"/>
        <v>6549.8926014319813</v>
      </c>
      <c r="O13" s="3" cm="1">
        <f t="array" ref="O13">_xlfn.IFS(AND(K13="Broker",J13="Resale"),F13*0.5,AND(K13="Owner",J13="Resale"),F13*0,AND(K13="Builder",J13="Resale"),F13*0.3,AND(J13="New",K13="Broker"),F13*0.1,AND(J13="New",K13="Owner"),F13*0,AND(J13="New",K13="Builder"),F13*0.5)</f>
        <v>0</v>
      </c>
    </row>
    <row r="14" spans="1:15" x14ac:dyDescent="0.3">
      <c r="A14" s="8" t="s">
        <v>41</v>
      </c>
      <c r="B14" s="4" t="s">
        <v>16</v>
      </c>
      <c r="C14" s="4" t="s">
        <v>29</v>
      </c>
      <c r="D14" s="4">
        <v>1</v>
      </c>
      <c r="E14" s="4">
        <v>640</v>
      </c>
      <c r="F14" s="4">
        <v>1987167</v>
      </c>
      <c r="G14" s="4">
        <v>1</v>
      </c>
      <c r="H14" s="4">
        <v>3</v>
      </c>
      <c r="I14" s="4" t="s">
        <v>8</v>
      </c>
      <c r="J14" s="4" t="s">
        <v>19</v>
      </c>
      <c r="K14" s="4" t="s">
        <v>20</v>
      </c>
      <c r="L14" s="9">
        <v>45442</v>
      </c>
      <c r="M14" s="9" t="str">
        <f>TEXT(Source_data[[#This Row],[Listing_Date]],"mmm-yy")</f>
        <v>May-24</v>
      </c>
      <c r="N14" s="4">
        <f t="shared" si="0"/>
        <v>3104.9484375000002</v>
      </c>
      <c r="O14" s="3" cm="1">
        <f t="array" ref="O14">_xlfn.IFS(AND(K14="Broker",J14="Resale"),F14*0.5,AND(K14="Owner",J14="Resale"),F14*0,AND(K14="Builder",J14="Resale"),F14*0.3,AND(J14="New",K14="Broker"),F14*0.1,AND(J14="New",K14="Owner"),F14*0,AND(J14="New",K14="Builder"),F14*0.5)</f>
        <v>198716.7</v>
      </c>
    </row>
    <row r="15" spans="1:15" x14ac:dyDescent="0.3">
      <c r="A15" s="8" t="s">
        <v>42</v>
      </c>
      <c r="B15" s="4" t="s">
        <v>16</v>
      </c>
      <c r="C15" s="4" t="s">
        <v>35</v>
      </c>
      <c r="D15" s="4">
        <v>2</v>
      </c>
      <c r="E15" s="4">
        <v>873</v>
      </c>
      <c r="F15" s="4">
        <v>4676870</v>
      </c>
      <c r="G15" s="4">
        <v>2</v>
      </c>
      <c r="H15" s="4">
        <v>1</v>
      </c>
      <c r="I15" s="4" t="s">
        <v>8</v>
      </c>
      <c r="J15" s="4" t="s">
        <v>23</v>
      </c>
      <c r="K15" s="4" t="s">
        <v>36</v>
      </c>
      <c r="L15" s="9">
        <v>45521</v>
      </c>
      <c r="M15" s="9" t="str">
        <f>TEXT(Source_data[[#This Row],[Listing_Date]],"mmm-yy")</f>
        <v>Aug-24</v>
      </c>
      <c r="N15" s="4">
        <f t="shared" si="0"/>
        <v>5357.2394043528066</v>
      </c>
      <c r="O15" s="3" cm="1">
        <f t="array" ref="O15">_xlfn.IFS(AND(K15="Broker",J15="Resale"),F15*0.5,AND(K15="Owner",J15="Resale"),F15*0,AND(K15="Builder",J15="Resale"),F15*0.3,AND(J15="New",K15="Broker"),F15*0.1,AND(J15="New",K15="Owner"),F15*0,AND(J15="New",K15="Builder"),F15*0.5)</f>
        <v>0</v>
      </c>
    </row>
    <row r="16" spans="1:15" x14ac:dyDescent="0.3">
      <c r="A16" s="8" t="s">
        <v>43</v>
      </c>
      <c r="B16" s="4" t="s">
        <v>16</v>
      </c>
      <c r="C16" s="4" t="s">
        <v>29</v>
      </c>
      <c r="D16" s="4">
        <v>2</v>
      </c>
      <c r="E16" s="4">
        <v>1504</v>
      </c>
      <c r="F16" s="4">
        <v>9658335</v>
      </c>
      <c r="G16" s="4">
        <v>2</v>
      </c>
      <c r="H16" s="4">
        <v>1</v>
      </c>
      <c r="I16" s="4" t="s">
        <v>27</v>
      </c>
      <c r="J16" s="4" t="s">
        <v>19</v>
      </c>
      <c r="K16" s="4" t="s">
        <v>20</v>
      </c>
      <c r="L16" s="9">
        <v>45606</v>
      </c>
      <c r="M16" s="9" t="str">
        <f>TEXT(Source_data[[#This Row],[Listing_Date]],"mmm-yy")</f>
        <v>Nov-24</v>
      </c>
      <c r="N16" s="4">
        <f t="shared" si="0"/>
        <v>6421.7652925531911</v>
      </c>
      <c r="O16" s="3" cm="1">
        <f t="array" ref="O16">_xlfn.IFS(AND(K16="Broker",J16="Resale"),F16*0.5,AND(K16="Owner",J16="Resale"),F16*0,AND(K16="Builder",J16="Resale"),F16*0.3,AND(J16="New",K16="Broker"),F16*0.1,AND(J16="New",K16="Owner"),F16*0,AND(J16="New",K16="Builder"),F16*0.5)</f>
        <v>965833.5</v>
      </c>
    </row>
    <row r="17" spans="1:15" x14ac:dyDescent="0.3">
      <c r="A17" s="8" t="s">
        <v>44</v>
      </c>
      <c r="B17" s="4" t="s">
        <v>16</v>
      </c>
      <c r="C17" s="4" t="s">
        <v>26</v>
      </c>
      <c r="D17" s="4">
        <v>4</v>
      </c>
      <c r="E17" s="4">
        <v>1920</v>
      </c>
      <c r="F17" s="4">
        <v>12452560</v>
      </c>
      <c r="G17" s="4">
        <v>3</v>
      </c>
      <c r="H17" s="4">
        <v>1</v>
      </c>
      <c r="I17" s="4" t="s">
        <v>27</v>
      </c>
      <c r="J17" s="4" t="s">
        <v>19</v>
      </c>
      <c r="K17" s="4" t="s">
        <v>24</v>
      </c>
      <c r="L17" s="9">
        <v>45830</v>
      </c>
      <c r="M17" s="9" t="str">
        <f>TEXT(Source_data[[#This Row],[Listing_Date]],"mmm-yy")</f>
        <v>Jun-25</v>
      </c>
      <c r="N17" s="4">
        <f t="shared" si="0"/>
        <v>6485.708333333333</v>
      </c>
      <c r="O17" s="3" cm="1">
        <f t="array" ref="O17">_xlfn.IFS(AND(K17="Broker",J17="Resale"),F17*0.5,AND(K17="Owner",J17="Resale"),F17*0,AND(K17="Builder",J17="Resale"),F17*0.3,AND(J17="New",K17="Broker"),F17*0.1,AND(J17="New",K17="Owner"),F17*0,AND(J17="New",K17="Builder"),F17*0.5)</f>
        <v>6226280</v>
      </c>
    </row>
    <row r="18" spans="1:15" x14ac:dyDescent="0.3">
      <c r="A18" s="8" t="s">
        <v>45</v>
      </c>
      <c r="B18" s="4" t="s">
        <v>16</v>
      </c>
      <c r="C18" s="4" t="s">
        <v>22</v>
      </c>
      <c r="D18" s="4">
        <v>4</v>
      </c>
      <c r="E18" s="4">
        <v>2215</v>
      </c>
      <c r="F18" s="4">
        <v>16162399</v>
      </c>
      <c r="G18" s="4">
        <v>3</v>
      </c>
      <c r="H18" s="4">
        <v>1</v>
      </c>
      <c r="I18" s="4" t="s">
        <v>8</v>
      </c>
      <c r="J18" s="4" t="s">
        <v>23</v>
      </c>
      <c r="K18" s="4" t="s">
        <v>24</v>
      </c>
      <c r="L18" s="9">
        <v>45156</v>
      </c>
      <c r="M18" s="9" t="str">
        <f>TEXT(Source_data[[#This Row],[Listing_Date]],"mmm-yy")</f>
        <v>Aug-23</v>
      </c>
      <c r="N18" s="4">
        <f t="shared" si="0"/>
        <v>7296.7941309255075</v>
      </c>
      <c r="O18" s="3" cm="1">
        <f t="array" ref="O18">_xlfn.IFS(AND(K18="Broker",J18="Resale"),F18*0.5,AND(K18="Owner",J18="Resale"),F18*0,AND(K18="Builder",J18="Resale"),F18*0.3,AND(J18="New",K18="Broker"),F18*0.1,AND(J18="New",K18="Owner"),F18*0,AND(J18="New",K18="Builder"),F18*0.5)</f>
        <v>4848719.7</v>
      </c>
    </row>
    <row r="19" spans="1:15" x14ac:dyDescent="0.3">
      <c r="A19" s="8" t="s">
        <v>46</v>
      </c>
      <c r="B19" s="4" t="s">
        <v>16</v>
      </c>
      <c r="C19" s="4" t="s">
        <v>22</v>
      </c>
      <c r="D19" s="4">
        <v>3</v>
      </c>
      <c r="E19" s="4">
        <v>1405</v>
      </c>
      <c r="F19" s="4">
        <v>9413176</v>
      </c>
      <c r="G19" s="4">
        <v>4</v>
      </c>
      <c r="H19" s="4">
        <v>1</v>
      </c>
      <c r="I19" s="4" t="s">
        <v>8</v>
      </c>
      <c r="J19" s="4" t="s">
        <v>23</v>
      </c>
      <c r="K19" s="4" t="s">
        <v>20</v>
      </c>
      <c r="L19" s="9">
        <v>45479</v>
      </c>
      <c r="M19" s="9" t="str">
        <f>TEXT(Source_data[[#This Row],[Listing_Date]],"mmm-yy")</f>
        <v>Jul-24</v>
      </c>
      <c r="N19" s="4">
        <f t="shared" si="0"/>
        <v>6699.7693950177936</v>
      </c>
      <c r="O19" s="3" cm="1">
        <f t="array" ref="O19">_xlfn.IFS(AND(K19="Broker",J19="Resale"),F19*0.5,AND(K19="Owner",J19="Resale"),F19*0,AND(K19="Builder",J19="Resale"),F19*0.3,AND(J19="New",K19="Broker"),F19*0.1,AND(J19="New",K19="Owner"),F19*0,AND(J19="New",K19="Builder"),F19*0.5)</f>
        <v>4706588</v>
      </c>
    </row>
    <row r="20" spans="1:15" x14ac:dyDescent="0.3">
      <c r="A20" s="8" t="s">
        <v>47</v>
      </c>
      <c r="B20" s="4" t="s">
        <v>16</v>
      </c>
      <c r="C20" s="4" t="s">
        <v>26</v>
      </c>
      <c r="D20" s="4">
        <v>4</v>
      </c>
      <c r="E20" s="4">
        <v>2096</v>
      </c>
      <c r="F20" s="4">
        <v>9226872</v>
      </c>
      <c r="G20" s="4">
        <v>2</v>
      </c>
      <c r="H20" s="4">
        <v>2</v>
      </c>
      <c r="I20" s="4" t="s">
        <v>27</v>
      </c>
      <c r="J20" s="4" t="s">
        <v>23</v>
      </c>
      <c r="K20" s="4" t="s">
        <v>24</v>
      </c>
      <c r="L20" s="9">
        <v>45469</v>
      </c>
      <c r="M20" s="9" t="str">
        <f>TEXT(Source_data[[#This Row],[Listing_Date]],"mmm-yy")</f>
        <v>Jun-24</v>
      </c>
      <c r="N20" s="4">
        <f t="shared" si="0"/>
        <v>4402.1335877862593</v>
      </c>
      <c r="O20" s="3" cm="1">
        <f t="array" ref="O20">_xlfn.IFS(AND(K20="Broker",J20="Resale"),F20*0.5,AND(K20="Owner",J20="Resale"),F20*0,AND(K20="Builder",J20="Resale"),F20*0.3,AND(J20="New",K20="Broker"),F20*0.1,AND(J20="New",K20="Owner"),F20*0,AND(J20="New",K20="Builder"),F20*0.5)</f>
        <v>2768061.6</v>
      </c>
    </row>
    <row r="21" spans="1:15" x14ac:dyDescent="0.3">
      <c r="A21" s="8" t="s">
        <v>48</v>
      </c>
      <c r="B21" s="4" t="s">
        <v>16</v>
      </c>
      <c r="C21" s="4" t="s">
        <v>26</v>
      </c>
      <c r="D21" s="4">
        <v>3</v>
      </c>
      <c r="E21" s="4">
        <v>1190</v>
      </c>
      <c r="F21" s="4">
        <v>7215539</v>
      </c>
      <c r="G21" s="4">
        <v>4</v>
      </c>
      <c r="H21" s="4">
        <v>2</v>
      </c>
      <c r="I21" s="4" t="s">
        <v>27</v>
      </c>
      <c r="J21" s="4" t="s">
        <v>19</v>
      </c>
      <c r="K21" s="4" t="s">
        <v>36</v>
      </c>
      <c r="L21" s="9">
        <v>45689</v>
      </c>
      <c r="M21" s="9" t="str">
        <f>TEXT(Source_data[[#This Row],[Listing_Date]],"mmm-yy")</f>
        <v>Feb-25</v>
      </c>
      <c r="N21" s="4">
        <f t="shared" si="0"/>
        <v>6063.4781512605041</v>
      </c>
      <c r="O21" s="3" cm="1">
        <f t="array" ref="O21">_xlfn.IFS(AND(K21="Broker",J21="Resale"),F21*0.5,AND(K21="Owner",J21="Resale"),F21*0,AND(K21="Builder",J21="Resale"),F21*0.3,AND(J21="New",K21="Broker"),F21*0.1,AND(J21="New",K21="Owner"),F21*0,AND(J21="New",K21="Builder"),F21*0.5)</f>
        <v>0</v>
      </c>
    </row>
    <row r="22" spans="1:15" x14ac:dyDescent="0.3">
      <c r="A22" s="8" t="s">
        <v>49</v>
      </c>
      <c r="B22" s="4" t="s">
        <v>16</v>
      </c>
      <c r="C22" s="4" t="s">
        <v>29</v>
      </c>
      <c r="D22" s="4">
        <v>2</v>
      </c>
      <c r="E22" s="4">
        <v>751</v>
      </c>
      <c r="F22" s="4">
        <v>5143045</v>
      </c>
      <c r="G22" s="4">
        <v>2</v>
      </c>
      <c r="H22" s="4">
        <v>2</v>
      </c>
      <c r="I22" s="4" t="s">
        <v>18</v>
      </c>
      <c r="J22" s="4" t="s">
        <v>19</v>
      </c>
      <c r="K22" s="4" t="s">
        <v>36</v>
      </c>
      <c r="L22" s="9">
        <v>45994</v>
      </c>
      <c r="M22" s="9" t="str">
        <f>TEXT(Source_data[[#This Row],[Listing_Date]],"mmm-yy")</f>
        <v>Dec-25</v>
      </c>
      <c r="N22" s="4">
        <f t="shared" si="0"/>
        <v>6848.2623169107856</v>
      </c>
      <c r="O22" s="3" cm="1">
        <f t="array" ref="O22">_xlfn.IFS(AND(K22="Broker",J22="Resale"),F22*0.5,AND(K22="Owner",J22="Resale"),F22*0,AND(K22="Builder",J22="Resale"),F22*0.3,AND(J22="New",K22="Broker"),F22*0.1,AND(J22="New",K22="Owner"),F22*0,AND(J22="New",K22="Builder"),F22*0.5)</f>
        <v>0</v>
      </c>
    </row>
    <row r="23" spans="1:15" x14ac:dyDescent="0.3">
      <c r="A23" s="8" t="s">
        <v>50</v>
      </c>
      <c r="B23" s="4" t="s">
        <v>16</v>
      </c>
      <c r="C23" s="4" t="s">
        <v>22</v>
      </c>
      <c r="D23" s="4">
        <v>2</v>
      </c>
      <c r="E23" s="4">
        <v>1084</v>
      </c>
      <c r="F23" s="4">
        <v>5446602</v>
      </c>
      <c r="G23" s="4">
        <v>1</v>
      </c>
      <c r="H23" s="4">
        <v>1</v>
      </c>
      <c r="I23" s="4" t="s">
        <v>8</v>
      </c>
      <c r="J23" s="4" t="s">
        <v>19</v>
      </c>
      <c r="K23" s="4" t="s">
        <v>20</v>
      </c>
      <c r="L23" s="9">
        <v>45733</v>
      </c>
      <c r="M23" s="9" t="str">
        <f>TEXT(Source_data[[#This Row],[Listing_Date]],"mmm-yy")</f>
        <v>Mar-25</v>
      </c>
      <c r="N23" s="4">
        <f t="shared" si="0"/>
        <v>5024.5405904059044</v>
      </c>
      <c r="O23" s="3" cm="1">
        <f t="array" ref="O23">_xlfn.IFS(AND(K23="Broker",J23="Resale"),F23*0.5,AND(K23="Owner",J23="Resale"),F23*0,AND(K23="Builder",J23="Resale"),F23*0.3,AND(J23="New",K23="Broker"),F23*0.1,AND(J23="New",K23="Owner"),F23*0,AND(J23="New",K23="Builder"),F23*0.5)</f>
        <v>544660.20000000007</v>
      </c>
    </row>
    <row r="24" spans="1:15" x14ac:dyDescent="0.3">
      <c r="A24" s="8" t="s">
        <v>51</v>
      </c>
      <c r="B24" s="4" t="s">
        <v>16</v>
      </c>
      <c r="C24" s="4" t="s">
        <v>22</v>
      </c>
      <c r="D24" s="4">
        <v>2</v>
      </c>
      <c r="E24" s="4">
        <v>923</v>
      </c>
      <c r="F24" s="4">
        <v>5679422</v>
      </c>
      <c r="G24" s="4">
        <v>2</v>
      </c>
      <c r="H24" s="4">
        <v>1</v>
      </c>
      <c r="I24" s="4" t="s">
        <v>8</v>
      </c>
      <c r="J24" s="4" t="s">
        <v>19</v>
      </c>
      <c r="K24" s="4" t="s">
        <v>20</v>
      </c>
      <c r="L24" s="9">
        <v>45777</v>
      </c>
      <c r="M24" s="9" t="str">
        <f>TEXT(Source_data[[#This Row],[Listing_Date]],"mmm-yy")</f>
        <v>Apr-25</v>
      </c>
      <c r="N24" s="4">
        <f t="shared" si="0"/>
        <v>6153.2199349945831</v>
      </c>
      <c r="O24" s="3" cm="1">
        <f t="array" ref="O24">_xlfn.IFS(AND(K24="Broker",J24="Resale"),F24*0.5,AND(K24="Owner",J24="Resale"),F24*0,AND(K24="Builder",J24="Resale"),F24*0.3,AND(J24="New",K24="Broker"),F24*0.1,AND(J24="New",K24="Owner"),F24*0,AND(J24="New",K24="Builder"),F24*0.5)</f>
        <v>567942.20000000007</v>
      </c>
    </row>
    <row r="25" spans="1:15" x14ac:dyDescent="0.3">
      <c r="A25" s="8" t="s">
        <v>52</v>
      </c>
      <c r="B25" s="4" t="s">
        <v>16</v>
      </c>
      <c r="C25" s="4" t="s">
        <v>53</v>
      </c>
      <c r="D25" s="4">
        <v>3</v>
      </c>
      <c r="E25" s="4">
        <v>1240</v>
      </c>
      <c r="F25" s="4">
        <v>7886279</v>
      </c>
      <c r="G25" s="4">
        <v>2</v>
      </c>
      <c r="H25" s="4">
        <v>2</v>
      </c>
      <c r="I25" s="4" t="s">
        <v>18</v>
      </c>
      <c r="J25" s="4" t="s">
        <v>23</v>
      </c>
      <c r="K25" s="4" t="s">
        <v>36</v>
      </c>
      <c r="L25" s="9">
        <v>45451</v>
      </c>
      <c r="M25" s="9" t="str">
        <f>TEXT(Source_data[[#This Row],[Listing_Date]],"mmm-yy")</f>
        <v>Jun-24</v>
      </c>
      <c r="N25" s="4">
        <f t="shared" si="0"/>
        <v>6359.9024193548385</v>
      </c>
      <c r="O25" s="3" cm="1">
        <f t="array" ref="O25">_xlfn.IFS(AND(K25="Broker",J25="Resale"),F25*0.5,AND(K25="Owner",J25="Resale"),F25*0,AND(K25="Builder",J25="Resale"),F25*0.3,AND(J25="New",K25="Broker"),F25*0.1,AND(J25="New",K25="Owner"),F25*0,AND(J25="New",K25="Builder"),F25*0.5)</f>
        <v>0</v>
      </c>
    </row>
    <row r="26" spans="1:15" x14ac:dyDescent="0.3">
      <c r="A26" s="8" t="s">
        <v>54</v>
      </c>
      <c r="B26" s="4" t="s">
        <v>16</v>
      </c>
      <c r="C26" s="4" t="s">
        <v>26</v>
      </c>
      <c r="D26" s="4">
        <v>4</v>
      </c>
      <c r="E26" s="4">
        <v>1801</v>
      </c>
      <c r="F26" s="4">
        <v>8704023</v>
      </c>
      <c r="G26" s="4">
        <v>2</v>
      </c>
      <c r="H26" s="4">
        <v>2</v>
      </c>
      <c r="I26" s="4" t="s">
        <v>8</v>
      </c>
      <c r="J26" s="4" t="s">
        <v>19</v>
      </c>
      <c r="K26" s="4" t="s">
        <v>24</v>
      </c>
      <c r="L26" s="9">
        <v>45543</v>
      </c>
      <c r="M26" s="9" t="str">
        <f>TEXT(Source_data[[#This Row],[Listing_Date]],"mmm-yy")</f>
        <v>Sep-24</v>
      </c>
      <c r="N26" s="4">
        <f t="shared" si="0"/>
        <v>4832.8833981121597</v>
      </c>
      <c r="O26" s="3" cm="1">
        <f t="array" ref="O26">_xlfn.IFS(AND(K26="Broker",J26="Resale"),F26*0.5,AND(K26="Owner",J26="Resale"),F26*0,AND(K26="Builder",J26="Resale"),F26*0.3,AND(J26="New",K26="Broker"),F26*0.1,AND(J26="New",K26="Owner"),F26*0,AND(J26="New",K26="Builder"),F26*0.5)</f>
        <v>4352011.5</v>
      </c>
    </row>
    <row r="27" spans="1:15" x14ac:dyDescent="0.3">
      <c r="A27" s="8" t="s">
        <v>55</v>
      </c>
      <c r="B27" s="4" t="s">
        <v>16</v>
      </c>
      <c r="C27" s="4" t="s">
        <v>29</v>
      </c>
      <c r="D27" s="4">
        <v>1</v>
      </c>
      <c r="E27" s="4">
        <v>748</v>
      </c>
      <c r="F27" s="4">
        <v>5499181</v>
      </c>
      <c r="G27" s="4">
        <v>1</v>
      </c>
      <c r="H27" s="4">
        <v>2</v>
      </c>
      <c r="I27" s="4" t="s">
        <v>27</v>
      </c>
      <c r="J27" s="4" t="s">
        <v>23</v>
      </c>
      <c r="K27" s="4" t="s">
        <v>36</v>
      </c>
      <c r="L27" s="9">
        <v>45443</v>
      </c>
      <c r="M27" s="9" t="str">
        <f>TEXT(Source_data[[#This Row],[Listing_Date]],"mmm-yy")</f>
        <v>May-24</v>
      </c>
      <c r="N27" s="4">
        <f t="shared" si="0"/>
        <v>7351.8462566844919</v>
      </c>
      <c r="O27" s="3" cm="1">
        <f t="array" ref="O27">_xlfn.IFS(AND(K27="Broker",J27="Resale"),F27*0.5,AND(K27="Owner",J27="Resale"),F27*0,AND(K27="Builder",J27="Resale"),F27*0.3,AND(J27="New",K27="Broker"),F27*0.1,AND(J27="New",K27="Owner"),F27*0,AND(J27="New",K27="Builder"),F27*0.5)</f>
        <v>0</v>
      </c>
    </row>
    <row r="28" spans="1:15" x14ac:dyDescent="0.3">
      <c r="A28" s="8" t="s">
        <v>56</v>
      </c>
      <c r="B28" s="4" t="s">
        <v>16</v>
      </c>
      <c r="C28" s="4" t="s">
        <v>22</v>
      </c>
      <c r="D28" s="4">
        <v>4</v>
      </c>
      <c r="E28" s="4">
        <v>1934</v>
      </c>
      <c r="F28" s="4">
        <v>17605131</v>
      </c>
      <c r="G28" s="4">
        <v>4</v>
      </c>
      <c r="H28" s="4">
        <v>2</v>
      </c>
      <c r="I28" s="4" t="s">
        <v>8</v>
      </c>
      <c r="J28" s="4" t="s">
        <v>19</v>
      </c>
      <c r="K28" s="4" t="s">
        <v>36</v>
      </c>
      <c r="L28" s="9">
        <v>45651</v>
      </c>
      <c r="M28" s="9" t="str">
        <f>TEXT(Source_data[[#This Row],[Listing_Date]],"mmm-yy")</f>
        <v>Dec-24</v>
      </c>
      <c r="N28" s="4">
        <f t="shared" si="0"/>
        <v>9102.9632885211995</v>
      </c>
      <c r="O28" s="3" cm="1">
        <f t="array" ref="O28">_xlfn.IFS(AND(K28="Broker",J28="Resale"),F28*0.5,AND(K28="Owner",J28="Resale"),F28*0,AND(K28="Builder",J28="Resale"),F28*0.3,AND(J28="New",K28="Broker"),F28*0.1,AND(J28="New",K28="Owner"),F28*0,AND(J28="New",K28="Builder"),F28*0.5)</f>
        <v>0</v>
      </c>
    </row>
    <row r="29" spans="1:15" x14ac:dyDescent="0.3">
      <c r="A29" s="8" t="s">
        <v>57</v>
      </c>
      <c r="B29" s="4" t="s">
        <v>16</v>
      </c>
      <c r="C29" s="4" t="s">
        <v>22</v>
      </c>
      <c r="D29" s="4">
        <v>2</v>
      </c>
      <c r="E29" s="4">
        <v>977</v>
      </c>
      <c r="F29" s="4">
        <v>7161175</v>
      </c>
      <c r="G29" s="4">
        <v>2</v>
      </c>
      <c r="H29" s="4">
        <v>1</v>
      </c>
      <c r="I29" s="4" t="s">
        <v>27</v>
      </c>
      <c r="J29" s="4" t="s">
        <v>23</v>
      </c>
      <c r="K29" s="4" t="s">
        <v>36</v>
      </c>
      <c r="L29" s="9">
        <v>45824</v>
      </c>
      <c r="M29" s="9" t="str">
        <f>TEXT(Source_data[[#This Row],[Listing_Date]],"mmm-yy")</f>
        <v>Jun-25</v>
      </c>
      <c r="N29" s="4">
        <f t="shared" si="0"/>
        <v>7329.7594677584439</v>
      </c>
      <c r="O29" s="3" cm="1">
        <f t="array" ref="O29">_xlfn.IFS(AND(K29="Broker",J29="Resale"),F29*0.5,AND(K29="Owner",J29="Resale"),F29*0,AND(K29="Builder",J29="Resale"),F29*0.3,AND(J29="New",K29="Broker"),F29*0.1,AND(J29="New",K29="Owner"),F29*0,AND(J29="New",K29="Builder"),F29*0.5)</f>
        <v>0</v>
      </c>
    </row>
    <row r="30" spans="1:15" x14ac:dyDescent="0.3">
      <c r="A30" s="8" t="s">
        <v>58</v>
      </c>
      <c r="B30" s="4" t="s">
        <v>16</v>
      </c>
      <c r="C30" s="4" t="s">
        <v>22</v>
      </c>
      <c r="D30" s="4">
        <v>2</v>
      </c>
      <c r="E30" s="4">
        <v>717</v>
      </c>
      <c r="F30" s="4">
        <v>3892573</v>
      </c>
      <c r="G30" s="4">
        <v>3</v>
      </c>
      <c r="H30" s="4">
        <v>1</v>
      </c>
      <c r="I30" s="4" t="s">
        <v>27</v>
      </c>
      <c r="J30" s="4" t="s">
        <v>23</v>
      </c>
      <c r="K30" s="4" t="s">
        <v>20</v>
      </c>
      <c r="L30" s="9">
        <v>45158</v>
      </c>
      <c r="M30" s="9" t="str">
        <f>TEXT(Source_data[[#This Row],[Listing_Date]],"mmm-yy")</f>
        <v>Aug-23</v>
      </c>
      <c r="N30" s="4">
        <f t="shared" si="0"/>
        <v>5428.9721059972107</v>
      </c>
      <c r="O30" s="3" cm="1">
        <f t="array" ref="O30">_xlfn.IFS(AND(K30="Broker",J30="Resale"),F30*0.5,AND(K30="Owner",J30="Resale"),F30*0,AND(K30="Builder",J30="Resale"),F30*0.3,AND(J30="New",K30="Broker"),F30*0.1,AND(J30="New",K30="Owner"),F30*0,AND(J30="New",K30="Builder"),F30*0.5)</f>
        <v>1946286.5</v>
      </c>
    </row>
    <row r="31" spans="1:15" x14ac:dyDescent="0.3">
      <c r="A31" s="8" t="s">
        <v>59</v>
      </c>
      <c r="B31" s="4" t="s">
        <v>16</v>
      </c>
      <c r="C31" s="4" t="s">
        <v>31</v>
      </c>
      <c r="D31" s="4">
        <v>1</v>
      </c>
      <c r="E31" s="4">
        <v>405</v>
      </c>
      <c r="F31" s="4">
        <v>2690679</v>
      </c>
      <c r="G31" s="4">
        <v>1</v>
      </c>
      <c r="H31" s="4">
        <v>1</v>
      </c>
      <c r="I31" s="4" t="s">
        <v>8</v>
      </c>
      <c r="J31" s="4" t="s">
        <v>23</v>
      </c>
      <c r="K31" s="4" t="s">
        <v>24</v>
      </c>
      <c r="L31" s="9">
        <v>45871</v>
      </c>
      <c r="M31" s="9" t="str">
        <f>TEXT(Source_data[[#This Row],[Listing_Date]],"mmm-yy")</f>
        <v>Aug-25</v>
      </c>
      <c r="N31" s="4">
        <f t="shared" si="0"/>
        <v>6643.6518518518515</v>
      </c>
      <c r="O31" s="3" cm="1">
        <f t="array" ref="O31">_xlfn.IFS(AND(K31="Broker",J31="Resale"),F31*0.5,AND(K31="Owner",J31="Resale"),F31*0,AND(K31="Builder",J31="Resale"),F31*0.3,AND(J31="New",K31="Broker"),F31*0.1,AND(J31="New",K31="Owner"),F31*0,AND(J31="New",K31="Builder"),F31*0.5)</f>
        <v>807203.7</v>
      </c>
    </row>
    <row r="32" spans="1:15" x14ac:dyDescent="0.3">
      <c r="A32" s="8" t="s">
        <v>60</v>
      </c>
      <c r="B32" s="4" t="s">
        <v>16</v>
      </c>
      <c r="C32" s="4" t="s">
        <v>53</v>
      </c>
      <c r="D32" s="4">
        <v>3</v>
      </c>
      <c r="E32" s="4">
        <v>1035</v>
      </c>
      <c r="F32" s="4">
        <v>6714914</v>
      </c>
      <c r="G32" s="4">
        <v>3</v>
      </c>
      <c r="H32" s="4">
        <v>1</v>
      </c>
      <c r="I32" s="4" t="s">
        <v>8</v>
      </c>
      <c r="J32" s="4" t="s">
        <v>19</v>
      </c>
      <c r="K32" s="4" t="s">
        <v>36</v>
      </c>
      <c r="L32" s="9">
        <v>45628</v>
      </c>
      <c r="M32" s="9" t="str">
        <f>TEXT(Source_data[[#This Row],[Listing_Date]],"mmm-yy")</f>
        <v>Dec-24</v>
      </c>
      <c r="N32" s="4">
        <f t="shared" si="0"/>
        <v>6487.8396135265702</v>
      </c>
      <c r="O32" s="3" cm="1">
        <f t="array" ref="O32">_xlfn.IFS(AND(K32="Broker",J32="Resale"),F32*0.5,AND(K32="Owner",J32="Resale"),F32*0,AND(K32="Builder",J32="Resale"),F32*0.3,AND(J32="New",K32="Broker"),F32*0.1,AND(J32="New",K32="Owner"),F32*0,AND(J32="New",K32="Builder"),F32*0.5)</f>
        <v>0</v>
      </c>
    </row>
    <row r="33" spans="1:15" x14ac:dyDescent="0.3">
      <c r="A33" s="8" t="s">
        <v>61</v>
      </c>
      <c r="B33" s="4" t="s">
        <v>16</v>
      </c>
      <c r="C33" s="4" t="s">
        <v>31</v>
      </c>
      <c r="D33" s="4">
        <v>3</v>
      </c>
      <c r="E33" s="4">
        <v>1178</v>
      </c>
      <c r="F33" s="4">
        <v>7581702</v>
      </c>
      <c r="G33" s="4">
        <v>3</v>
      </c>
      <c r="H33" s="4">
        <v>1</v>
      </c>
      <c r="I33" s="4" t="s">
        <v>8</v>
      </c>
      <c r="J33" s="4" t="s">
        <v>19</v>
      </c>
      <c r="K33" s="4" t="s">
        <v>24</v>
      </c>
      <c r="L33" s="9">
        <v>45112</v>
      </c>
      <c r="M33" s="9" t="str">
        <f>TEXT(Source_data[[#This Row],[Listing_Date]],"mmm-yy")</f>
        <v>Jul-23</v>
      </c>
      <c r="N33" s="4">
        <f t="shared" si="0"/>
        <v>6436.0797962648558</v>
      </c>
      <c r="O33" s="3" cm="1">
        <f t="array" ref="O33">_xlfn.IFS(AND(K33="Broker",J33="Resale"),F33*0.5,AND(K33="Owner",J33="Resale"),F33*0,AND(K33="Builder",J33="Resale"),F33*0.3,AND(J33="New",K33="Broker"),F33*0.1,AND(J33="New",K33="Owner"),F33*0,AND(J33="New",K33="Builder"),F33*0.5)</f>
        <v>3790851</v>
      </c>
    </row>
    <row r="34" spans="1:15" x14ac:dyDescent="0.3">
      <c r="A34" s="8" t="s">
        <v>62</v>
      </c>
      <c r="B34" s="4" t="s">
        <v>16</v>
      </c>
      <c r="C34" s="4" t="s">
        <v>35</v>
      </c>
      <c r="D34" s="4">
        <v>3</v>
      </c>
      <c r="E34" s="4">
        <v>838</v>
      </c>
      <c r="F34" s="4">
        <v>3973664</v>
      </c>
      <c r="G34" s="4">
        <v>3</v>
      </c>
      <c r="H34" s="4">
        <v>2</v>
      </c>
      <c r="I34" s="4" t="s">
        <v>8</v>
      </c>
      <c r="J34" s="4" t="s">
        <v>19</v>
      </c>
      <c r="K34" s="4" t="s">
        <v>36</v>
      </c>
      <c r="L34" s="9">
        <v>45780</v>
      </c>
      <c r="M34" s="9" t="str">
        <f>TEXT(Source_data[[#This Row],[Listing_Date]],"mmm-yy")</f>
        <v>May-25</v>
      </c>
      <c r="N34" s="4">
        <f t="shared" si="0"/>
        <v>4741.8424821002391</v>
      </c>
      <c r="O34" s="3" cm="1">
        <f t="array" ref="O34">_xlfn.IFS(AND(K34="Broker",J34="Resale"),F34*0.5,AND(K34="Owner",J34="Resale"),F34*0,AND(K34="Builder",J34="Resale"),F34*0.3,AND(J34="New",K34="Broker"),F34*0.1,AND(J34="New",K34="Owner"),F34*0,AND(J34="New",K34="Builder"),F34*0.5)</f>
        <v>0</v>
      </c>
    </row>
    <row r="35" spans="1:15" x14ac:dyDescent="0.3">
      <c r="A35" s="8" t="s">
        <v>63</v>
      </c>
      <c r="B35" s="4" t="s">
        <v>16</v>
      </c>
      <c r="C35" s="4" t="s">
        <v>31</v>
      </c>
      <c r="D35" s="4">
        <v>3</v>
      </c>
      <c r="E35" s="4">
        <v>577</v>
      </c>
      <c r="F35" s="4">
        <v>3498203</v>
      </c>
      <c r="G35" s="4">
        <v>3</v>
      </c>
      <c r="H35" s="4">
        <v>2</v>
      </c>
      <c r="I35" s="4" t="s">
        <v>27</v>
      </c>
      <c r="J35" s="4" t="s">
        <v>19</v>
      </c>
      <c r="K35" s="4" t="s">
        <v>36</v>
      </c>
      <c r="L35" s="9">
        <v>45880</v>
      </c>
      <c r="M35" s="9" t="str">
        <f>TEXT(Source_data[[#This Row],[Listing_Date]],"mmm-yy")</f>
        <v>Aug-25</v>
      </c>
      <c r="N35" s="4">
        <f t="shared" si="0"/>
        <v>6062.7435008665507</v>
      </c>
      <c r="O35" s="3" cm="1">
        <f t="array" ref="O35">_xlfn.IFS(AND(K35="Broker",J35="Resale"),F35*0.5,AND(K35="Owner",J35="Resale"),F35*0,AND(K35="Builder",J35="Resale"),F35*0.3,AND(J35="New",K35="Broker"),F35*0.1,AND(J35="New",K35="Owner"),F35*0,AND(J35="New",K35="Builder"),F35*0.5)</f>
        <v>0</v>
      </c>
    </row>
    <row r="36" spans="1:15" x14ac:dyDescent="0.3">
      <c r="A36" s="8" t="s">
        <v>64</v>
      </c>
      <c r="B36" s="4" t="s">
        <v>16</v>
      </c>
      <c r="C36" s="4" t="s">
        <v>53</v>
      </c>
      <c r="D36" s="4">
        <v>1</v>
      </c>
      <c r="E36" s="4">
        <v>704</v>
      </c>
      <c r="F36" s="4">
        <v>8788420</v>
      </c>
      <c r="G36" s="4">
        <v>1</v>
      </c>
      <c r="H36" s="4">
        <v>2</v>
      </c>
      <c r="I36" s="4" t="s">
        <v>18</v>
      </c>
      <c r="J36" s="4" t="s">
        <v>23</v>
      </c>
      <c r="K36" s="4" t="s">
        <v>24</v>
      </c>
      <c r="L36" s="9">
        <v>45844</v>
      </c>
      <c r="M36" s="9" t="str">
        <f>TEXT(Source_data[[#This Row],[Listing_Date]],"mmm-yy")</f>
        <v>Jul-25</v>
      </c>
      <c r="N36" s="4">
        <f t="shared" si="0"/>
        <v>12483.551136363636</v>
      </c>
      <c r="O36" s="3" cm="1">
        <f t="array" ref="O36">_xlfn.IFS(AND(K36="Broker",J36="Resale"),F36*0.5,AND(K36="Owner",J36="Resale"),F36*0,AND(K36="Builder",J36="Resale"),F36*0.3,AND(J36="New",K36="Broker"),F36*0.1,AND(J36="New",K36="Owner"),F36*0,AND(J36="New",K36="Builder"),F36*0.5)</f>
        <v>2636526</v>
      </c>
    </row>
    <row r="37" spans="1:15" x14ac:dyDescent="0.3">
      <c r="A37" s="8" t="s">
        <v>65</v>
      </c>
      <c r="B37" s="4" t="s">
        <v>16</v>
      </c>
      <c r="C37" s="4" t="s">
        <v>53</v>
      </c>
      <c r="D37" s="4">
        <v>3</v>
      </c>
      <c r="E37" s="4">
        <v>1145</v>
      </c>
      <c r="F37" s="4">
        <v>7268407</v>
      </c>
      <c r="G37" s="4">
        <v>3</v>
      </c>
      <c r="H37" s="4">
        <v>1</v>
      </c>
      <c r="I37" s="4" t="s">
        <v>27</v>
      </c>
      <c r="J37" s="4" t="s">
        <v>23</v>
      </c>
      <c r="K37" s="4" t="s">
        <v>24</v>
      </c>
      <c r="L37" s="9">
        <v>45179</v>
      </c>
      <c r="M37" s="9" t="str">
        <f>TEXT(Source_data[[#This Row],[Listing_Date]],"mmm-yy")</f>
        <v>Sep-23</v>
      </c>
      <c r="N37" s="4">
        <f t="shared" si="0"/>
        <v>6347.9537117903928</v>
      </c>
      <c r="O37" s="3" cm="1">
        <f t="array" ref="O37">_xlfn.IFS(AND(K37="Broker",J37="Resale"),F37*0.5,AND(K37="Owner",J37="Resale"),F37*0,AND(K37="Builder",J37="Resale"),F37*0.3,AND(J37="New",K37="Broker"),F37*0.1,AND(J37="New",K37="Owner"),F37*0,AND(J37="New",K37="Builder"),F37*0.5)</f>
        <v>2180522.1</v>
      </c>
    </row>
    <row r="38" spans="1:15" x14ac:dyDescent="0.3">
      <c r="A38" s="8" t="s">
        <v>66</v>
      </c>
      <c r="B38" s="4" t="s">
        <v>16</v>
      </c>
      <c r="C38" s="4" t="s">
        <v>29</v>
      </c>
      <c r="D38" s="4">
        <v>2</v>
      </c>
      <c r="E38" s="4">
        <v>564</v>
      </c>
      <c r="F38" s="4">
        <v>2901895</v>
      </c>
      <c r="G38" s="4">
        <v>1</v>
      </c>
      <c r="H38" s="4">
        <v>2</v>
      </c>
      <c r="I38" s="4" t="s">
        <v>67</v>
      </c>
      <c r="J38" s="4" t="s">
        <v>23</v>
      </c>
      <c r="K38" s="4" t="s">
        <v>36</v>
      </c>
      <c r="L38" s="9">
        <v>45092</v>
      </c>
      <c r="M38" s="9" t="str">
        <f>TEXT(Source_data[[#This Row],[Listing_Date]],"mmm-yy")</f>
        <v>Jun-23</v>
      </c>
      <c r="N38" s="4">
        <f t="shared" si="0"/>
        <v>5145.2039007092199</v>
      </c>
      <c r="O38" s="3" cm="1">
        <f t="array" ref="O38">_xlfn.IFS(AND(K38="Broker",J38="Resale"),F38*0.5,AND(K38="Owner",J38="Resale"),F38*0,AND(K38="Builder",J38="Resale"),F38*0.3,AND(J38="New",K38="Broker"),F38*0.1,AND(J38="New",K38="Owner"),F38*0,AND(J38="New",K38="Builder"),F38*0.5)</f>
        <v>0</v>
      </c>
    </row>
    <row r="39" spans="1:15" x14ac:dyDescent="0.3">
      <c r="A39" s="8" t="s">
        <v>68</v>
      </c>
      <c r="B39" s="4" t="s">
        <v>16</v>
      </c>
      <c r="C39" s="4" t="s">
        <v>29</v>
      </c>
      <c r="D39" s="4">
        <v>3</v>
      </c>
      <c r="E39" s="4">
        <v>1078</v>
      </c>
      <c r="F39" s="4">
        <v>6742627</v>
      </c>
      <c r="G39" s="4">
        <v>3</v>
      </c>
      <c r="H39" s="4">
        <v>3</v>
      </c>
      <c r="I39" s="4" t="s">
        <v>27</v>
      </c>
      <c r="J39" s="4" t="s">
        <v>19</v>
      </c>
      <c r="K39" s="4" t="s">
        <v>20</v>
      </c>
      <c r="L39" s="9">
        <v>45453</v>
      </c>
      <c r="M39" s="9" t="str">
        <f>TEXT(Source_data[[#This Row],[Listing_Date]],"mmm-yy")</f>
        <v>Jun-24</v>
      </c>
      <c r="N39" s="4">
        <f t="shared" si="0"/>
        <v>6254.7560296846013</v>
      </c>
      <c r="O39" s="3" cm="1">
        <f t="array" ref="O39">_xlfn.IFS(AND(K39="Broker",J39="Resale"),F39*0.5,AND(K39="Owner",J39="Resale"),F39*0,AND(K39="Builder",J39="Resale"),F39*0.3,AND(J39="New",K39="Broker"),F39*0.1,AND(J39="New",K39="Owner"),F39*0,AND(J39="New",K39="Builder"),F39*0.5)</f>
        <v>674262.70000000007</v>
      </c>
    </row>
    <row r="40" spans="1:15" x14ac:dyDescent="0.3">
      <c r="A40" s="8" t="s">
        <v>69</v>
      </c>
      <c r="B40" s="4" t="s">
        <v>16</v>
      </c>
      <c r="C40" s="4" t="s">
        <v>53</v>
      </c>
      <c r="D40" s="4">
        <v>5</v>
      </c>
      <c r="E40" s="4">
        <v>2079</v>
      </c>
      <c r="F40" s="4">
        <v>11483056</v>
      </c>
      <c r="G40" s="4">
        <v>3</v>
      </c>
      <c r="H40" s="4">
        <v>0</v>
      </c>
      <c r="I40" s="4" t="s">
        <v>27</v>
      </c>
      <c r="J40" s="4" t="s">
        <v>23</v>
      </c>
      <c r="K40" s="4" t="s">
        <v>24</v>
      </c>
      <c r="L40" s="9">
        <v>45542</v>
      </c>
      <c r="M40" s="9" t="str">
        <f>TEXT(Source_data[[#This Row],[Listing_Date]],"mmm-yy")</f>
        <v>Sep-24</v>
      </c>
      <c r="N40" s="4">
        <f t="shared" si="0"/>
        <v>5523.3554593554591</v>
      </c>
      <c r="O40" s="3" cm="1">
        <f t="array" ref="O40">_xlfn.IFS(AND(K40="Broker",J40="Resale"),F40*0.5,AND(K40="Owner",J40="Resale"),F40*0,AND(K40="Builder",J40="Resale"),F40*0.3,AND(J40="New",K40="Broker"),F40*0.1,AND(J40="New",K40="Owner"),F40*0,AND(J40="New",K40="Builder"),F40*0.5)</f>
        <v>3444916.8</v>
      </c>
    </row>
    <row r="41" spans="1:15" x14ac:dyDescent="0.3">
      <c r="A41" s="8" t="s">
        <v>70</v>
      </c>
      <c r="B41" s="4" t="s">
        <v>16</v>
      </c>
      <c r="C41" s="4" t="s">
        <v>35</v>
      </c>
      <c r="D41" s="4">
        <v>2</v>
      </c>
      <c r="E41" s="4">
        <v>743</v>
      </c>
      <c r="F41" s="4">
        <v>5028536</v>
      </c>
      <c r="G41" s="4">
        <v>2</v>
      </c>
      <c r="H41" s="4">
        <v>4</v>
      </c>
      <c r="I41" s="4" t="s">
        <v>18</v>
      </c>
      <c r="J41" s="4" t="s">
        <v>19</v>
      </c>
      <c r="K41" s="4" t="s">
        <v>36</v>
      </c>
      <c r="L41" s="9">
        <v>45487</v>
      </c>
      <c r="M41" s="9" t="str">
        <f>TEXT(Source_data[[#This Row],[Listing_Date]],"mmm-yy")</f>
        <v>Jul-24</v>
      </c>
      <c r="N41" s="4">
        <f t="shared" si="0"/>
        <v>6767.8815612382232</v>
      </c>
      <c r="O41" s="3" cm="1">
        <f t="array" ref="O41">_xlfn.IFS(AND(K41="Broker",J41="Resale"),F41*0.5,AND(K41="Owner",J41="Resale"),F41*0,AND(K41="Builder",J41="Resale"),F41*0.3,AND(J41="New",K41="Broker"),F41*0.1,AND(J41="New",K41="Owner"),F41*0,AND(J41="New",K41="Builder"),F41*0.5)</f>
        <v>0</v>
      </c>
    </row>
    <row r="42" spans="1:15" x14ac:dyDescent="0.3">
      <c r="A42" s="8" t="s">
        <v>71</v>
      </c>
      <c r="B42" s="4" t="s">
        <v>16</v>
      </c>
      <c r="C42" s="4" t="s">
        <v>35</v>
      </c>
      <c r="D42" s="4">
        <v>2</v>
      </c>
      <c r="E42" s="4">
        <v>793</v>
      </c>
      <c r="F42" s="4">
        <v>5140305</v>
      </c>
      <c r="G42" s="4">
        <v>2</v>
      </c>
      <c r="H42" s="4">
        <v>1</v>
      </c>
      <c r="I42" s="4" t="s">
        <v>27</v>
      </c>
      <c r="J42" s="4" t="s">
        <v>19</v>
      </c>
      <c r="K42" s="4" t="s">
        <v>24</v>
      </c>
      <c r="L42" s="9">
        <v>45819</v>
      </c>
      <c r="M42" s="9" t="str">
        <f>TEXT(Source_data[[#This Row],[Listing_Date]],"mmm-yy")</f>
        <v>Jun-25</v>
      </c>
      <c r="N42" s="4">
        <f t="shared" si="0"/>
        <v>6482.0996216897856</v>
      </c>
      <c r="O42" s="3" cm="1">
        <f t="array" ref="O42">_xlfn.IFS(AND(K42="Broker",J42="Resale"),F42*0.5,AND(K42="Owner",J42="Resale"),F42*0,AND(K42="Builder",J42="Resale"),F42*0.3,AND(J42="New",K42="Broker"),F42*0.1,AND(J42="New",K42="Owner"),F42*0,AND(J42="New",K42="Builder"),F42*0.5)</f>
        <v>2570152.5</v>
      </c>
    </row>
    <row r="43" spans="1:15" x14ac:dyDescent="0.3">
      <c r="A43" s="8" t="s">
        <v>72</v>
      </c>
      <c r="B43" s="4" t="s">
        <v>16</v>
      </c>
      <c r="C43" s="4" t="s">
        <v>26</v>
      </c>
      <c r="D43" s="4">
        <v>5</v>
      </c>
      <c r="E43" s="4">
        <v>2550</v>
      </c>
      <c r="F43" s="4">
        <v>18862436</v>
      </c>
      <c r="G43" s="4">
        <v>4</v>
      </c>
      <c r="H43" s="4">
        <v>1</v>
      </c>
      <c r="I43" s="4" t="s">
        <v>27</v>
      </c>
      <c r="J43" s="4" t="s">
        <v>19</v>
      </c>
      <c r="K43" s="4" t="s">
        <v>20</v>
      </c>
      <c r="L43" s="9">
        <v>45859</v>
      </c>
      <c r="M43" s="9" t="str">
        <f>TEXT(Source_data[[#This Row],[Listing_Date]],"mmm-yy")</f>
        <v>Jul-25</v>
      </c>
      <c r="N43" s="4">
        <f t="shared" si="0"/>
        <v>7397.033725490196</v>
      </c>
      <c r="O43" s="3" cm="1">
        <f t="array" ref="O43">_xlfn.IFS(AND(K43="Broker",J43="Resale"),F43*0.5,AND(K43="Owner",J43="Resale"),F43*0,AND(K43="Builder",J43="Resale"),F43*0.3,AND(J43="New",K43="Broker"),F43*0.1,AND(J43="New",K43="Owner"),F43*0,AND(J43="New",K43="Builder"),F43*0.5)</f>
        <v>1886243.6</v>
      </c>
    </row>
    <row r="44" spans="1:15" x14ac:dyDescent="0.3">
      <c r="A44" s="8" t="s">
        <v>73</v>
      </c>
      <c r="B44" s="4" t="s">
        <v>16</v>
      </c>
      <c r="C44" s="4" t="s">
        <v>35</v>
      </c>
      <c r="D44" s="4">
        <v>3</v>
      </c>
      <c r="E44" s="4">
        <v>1296</v>
      </c>
      <c r="F44" s="4">
        <v>8558112</v>
      </c>
      <c r="G44" s="4">
        <v>2</v>
      </c>
      <c r="H44" s="4">
        <v>2</v>
      </c>
      <c r="I44" s="4" t="s">
        <v>27</v>
      </c>
      <c r="J44" s="4" t="s">
        <v>19</v>
      </c>
      <c r="K44" s="4" t="s">
        <v>20</v>
      </c>
      <c r="L44" s="9">
        <v>44962</v>
      </c>
      <c r="M44" s="9" t="str">
        <f>TEXT(Source_data[[#This Row],[Listing_Date]],"mmm-yy")</f>
        <v>Feb-23</v>
      </c>
      <c r="N44" s="4">
        <f t="shared" si="0"/>
        <v>6603.4814814814818</v>
      </c>
      <c r="O44" s="3" cm="1">
        <f t="array" ref="O44">_xlfn.IFS(AND(K44="Broker",J44="Resale"),F44*0.5,AND(K44="Owner",J44="Resale"),F44*0,AND(K44="Builder",J44="Resale"),F44*0.3,AND(J44="New",K44="Broker"),F44*0.1,AND(J44="New",K44="Owner"),F44*0,AND(J44="New",K44="Builder"),F44*0.5)</f>
        <v>855811.20000000007</v>
      </c>
    </row>
    <row r="45" spans="1:15" x14ac:dyDescent="0.3">
      <c r="A45" s="8" t="s">
        <v>74</v>
      </c>
      <c r="B45" s="4" t="s">
        <v>16</v>
      </c>
      <c r="C45" s="4" t="s">
        <v>29</v>
      </c>
      <c r="D45" s="4">
        <v>2</v>
      </c>
      <c r="E45" s="4">
        <v>1140</v>
      </c>
      <c r="F45" s="4">
        <v>6529827</v>
      </c>
      <c r="G45" s="4">
        <v>2</v>
      </c>
      <c r="H45" s="4">
        <v>1</v>
      </c>
      <c r="I45" s="4" t="s">
        <v>18</v>
      </c>
      <c r="J45" s="4" t="s">
        <v>23</v>
      </c>
      <c r="K45" s="4" t="s">
        <v>36</v>
      </c>
      <c r="L45" s="9">
        <v>45295</v>
      </c>
      <c r="M45" s="9" t="str">
        <f>TEXT(Source_data[[#This Row],[Listing_Date]],"mmm-yy")</f>
        <v>Jan-24</v>
      </c>
      <c r="N45" s="4">
        <f t="shared" si="0"/>
        <v>5727.9184210526319</v>
      </c>
      <c r="O45" s="3" cm="1">
        <f t="array" ref="O45">_xlfn.IFS(AND(K45="Broker",J45="Resale"),F45*0.5,AND(K45="Owner",J45="Resale"),F45*0,AND(K45="Builder",J45="Resale"),F45*0.3,AND(J45="New",K45="Broker"),F45*0.1,AND(J45="New",K45="Owner"),F45*0,AND(J45="New",K45="Builder"),F45*0.5)</f>
        <v>0</v>
      </c>
    </row>
    <row r="46" spans="1:15" x14ac:dyDescent="0.3">
      <c r="A46" s="8" t="s">
        <v>75</v>
      </c>
      <c r="B46" s="4" t="s">
        <v>16</v>
      </c>
      <c r="C46" s="4" t="s">
        <v>22</v>
      </c>
      <c r="D46" s="4">
        <v>3</v>
      </c>
      <c r="E46" s="4">
        <v>1651</v>
      </c>
      <c r="F46" s="4">
        <v>10009832</v>
      </c>
      <c r="G46" s="4">
        <v>3</v>
      </c>
      <c r="H46" s="4">
        <v>3</v>
      </c>
      <c r="I46" s="4" t="s">
        <v>18</v>
      </c>
      <c r="J46" s="4" t="s">
        <v>19</v>
      </c>
      <c r="K46" s="4" t="s">
        <v>36</v>
      </c>
      <c r="L46" s="9">
        <v>45180</v>
      </c>
      <c r="M46" s="9" t="str">
        <f>TEXT(Source_data[[#This Row],[Listing_Date]],"mmm-yy")</f>
        <v>Sep-23</v>
      </c>
      <c r="N46" s="4">
        <f t="shared" si="0"/>
        <v>6062.890369473047</v>
      </c>
      <c r="O46" s="3" cm="1">
        <f t="array" ref="O46">_xlfn.IFS(AND(K46="Broker",J46="Resale"),F46*0.5,AND(K46="Owner",J46="Resale"),F46*0,AND(K46="Builder",J46="Resale"),F46*0.3,AND(J46="New",K46="Broker"),F46*0.1,AND(J46="New",K46="Owner"),F46*0,AND(J46="New",K46="Builder"),F46*0.5)</f>
        <v>0</v>
      </c>
    </row>
    <row r="47" spans="1:15" x14ac:dyDescent="0.3">
      <c r="A47" s="8" t="s">
        <v>76</v>
      </c>
      <c r="B47" s="4" t="s">
        <v>16</v>
      </c>
      <c r="C47" s="4" t="s">
        <v>35</v>
      </c>
      <c r="D47" s="4">
        <v>3</v>
      </c>
      <c r="E47" s="4">
        <v>1204</v>
      </c>
      <c r="F47" s="4">
        <v>12066956</v>
      </c>
      <c r="G47" s="4">
        <v>2</v>
      </c>
      <c r="H47" s="4">
        <v>2</v>
      </c>
      <c r="I47" s="4" t="s">
        <v>8</v>
      </c>
      <c r="J47" s="4" t="s">
        <v>19</v>
      </c>
      <c r="K47" s="4" t="s">
        <v>24</v>
      </c>
      <c r="L47" s="9">
        <v>45001</v>
      </c>
      <c r="M47" s="9" t="str">
        <f>TEXT(Source_data[[#This Row],[Listing_Date]],"mmm-yy")</f>
        <v>Mar-23</v>
      </c>
      <c r="N47" s="4">
        <f t="shared" si="0"/>
        <v>10022.388704318937</v>
      </c>
      <c r="O47" s="3" cm="1">
        <f t="array" ref="O47">_xlfn.IFS(AND(K47="Broker",J47="Resale"),F47*0.5,AND(K47="Owner",J47="Resale"),F47*0,AND(K47="Builder",J47="Resale"),F47*0.3,AND(J47="New",K47="Broker"),F47*0.1,AND(J47="New",K47="Owner"),F47*0,AND(J47="New",K47="Builder"),F47*0.5)</f>
        <v>6033478</v>
      </c>
    </row>
    <row r="48" spans="1:15" x14ac:dyDescent="0.3">
      <c r="A48" s="8" t="s">
        <v>77</v>
      </c>
      <c r="B48" s="4" t="s">
        <v>16</v>
      </c>
      <c r="C48" s="4" t="s">
        <v>26</v>
      </c>
      <c r="D48" s="4">
        <v>3</v>
      </c>
      <c r="E48" s="4">
        <v>1666</v>
      </c>
      <c r="F48" s="4">
        <v>11151182</v>
      </c>
      <c r="G48" s="4">
        <v>3</v>
      </c>
      <c r="H48" s="4">
        <v>2</v>
      </c>
      <c r="I48" s="4" t="s">
        <v>18</v>
      </c>
      <c r="J48" s="4" t="s">
        <v>19</v>
      </c>
      <c r="K48" s="4" t="s">
        <v>24</v>
      </c>
      <c r="L48" s="9">
        <v>45275</v>
      </c>
      <c r="M48" s="9" t="str">
        <f>TEXT(Source_data[[#This Row],[Listing_Date]],"mmm-yy")</f>
        <v>Dec-23</v>
      </c>
      <c r="N48" s="4">
        <f t="shared" si="0"/>
        <v>6693.3865546218485</v>
      </c>
      <c r="O48" s="3" cm="1">
        <f t="array" ref="O48">_xlfn.IFS(AND(K48="Broker",J48="Resale"),F48*0.5,AND(K48="Owner",J48="Resale"),F48*0,AND(K48="Builder",J48="Resale"),F48*0.3,AND(J48="New",K48="Broker"),F48*0.1,AND(J48="New",K48="Owner"),F48*0,AND(J48="New",K48="Builder"),F48*0.5)</f>
        <v>5575591</v>
      </c>
    </row>
    <row r="49" spans="1:15" x14ac:dyDescent="0.3">
      <c r="A49" s="8" t="s">
        <v>78</v>
      </c>
      <c r="B49" s="4" t="s">
        <v>16</v>
      </c>
      <c r="C49" s="4" t="s">
        <v>53</v>
      </c>
      <c r="D49" s="4">
        <v>2</v>
      </c>
      <c r="E49" s="4">
        <v>504</v>
      </c>
      <c r="F49" s="4">
        <v>2456344</v>
      </c>
      <c r="G49" s="4">
        <v>2</v>
      </c>
      <c r="H49" s="4">
        <v>1</v>
      </c>
      <c r="I49" s="4" t="s">
        <v>27</v>
      </c>
      <c r="J49" s="4" t="s">
        <v>23</v>
      </c>
      <c r="K49" s="4" t="s">
        <v>36</v>
      </c>
      <c r="L49" s="9">
        <v>45692</v>
      </c>
      <c r="M49" s="9" t="str">
        <f>TEXT(Source_data[[#This Row],[Listing_Date]],"mmm-yy")</f>
        <v>Feb-25</v>
      </c>
      <c r="N49" s="4">
        <f t="shared" si="0"/>
        <v>4873.6984126984125</v>
      </c>
      <c r="O49" s="3" cm="1">
        <f t="array" ref="O49">_xlfn.IFS(AND(K49="Broker",J49="Resale"),F49*0.5,AND(K49="Owner",J49="Resale"),F49*0,AND(K49="Builder",J49="Resale"),F49*0.3,AND(J49="New",K49="Broker"),F49*0.1,AND(J49="New",K49="Owner"),F49*0,AND(J49="New",K49="Builder"),F49*0.5)</f>
        <v>0</v>
      </c>
    </row>
    <row r="50" spans="1:15" x14ac:dyDescent="0.3">
      <c r="A50" s="8" t="s">
        <v>79</v>
      </c>
      <c r="B50" s="4" t="s">
        <v>16</v>
      </c>
      <c r="C50" s="4" t="s">
        <v>35</v>
      </c>
      <c r="D50" s="4">
        <v>1</v>
      </c>
      <c r="E50" s="4">
        <v>588</v>
      </c>
      <c r="F50" s="4">
        <v>3388902</v>
      </c>
      <c r="G50" s="4">
        <v>1</v>
      </c>
      <c r="H50" s="4">
        <v>4</v>
      </c>
      <c r="I50" s="4" t="s">
        <v>27</v>
      </c>
      <c r="J50" s="4" t="s">
        <v>19</v>
      </c>
      <c r="K50" s="4" t="s">
        <v>20</v>
      </c>
      <c r="L50" s="9">
        <v>44985</v>
      </c>
      <c r="M50" s="9" t="str">
        <f>TEXT(Source_data[[#This Row],[Listing_Date]],"mmm-yy")</f>
        <v>Feb-23</v>
      </c>
      <c r="N50" s="4">
        <f t="shared" si="0"/>
        <v>5763.4387755102043</v>
      </c>
      <c r="O50" s="3" cm="1">
        <f t="array" ref="O50">_xlfn.IFS(AND(K50="Broker",J50="Resale"),F50*0.5,AND(K50="Owner",J50="Resale"),F50*0,AND(K50="Builder",J50="Resale"),F50*0.3,AND(J50="New",K50="Broker"),F50*0.1,AND(J50="New",K50="Owner"),F50*0,AND(J50="New",K50="Builder"),F50*0.5)</f>
        <v>338890.2</v>
      </c>
    </row>
    <row r="51" spans="1:15" x14ac:dyDescent="0.3">
      <c r="A51" s="8" t="s">
        <v>80</v>
      </c>
      <c r="B51" s="4" t="s">
        <v>16</v>
      </c>
      <c r="C51" s="4" t="s">
        <v>53</v>
      </c>
      <c r="D51" s="4">
        <v>3</v>
      </c>
      <c r="E51" s="4">
        <v>1420</v>
      </c>
      <c r="F51" s="4">
        <v>8473258</v>
      </c>
      <c r="G51" s="4">
        <v>4</v>
      </c>
      <c r="H51" s="4">
        <v>3</v>
      </c>
      <c r="I51" s="4" t="s">
        <v>8</v>
      </c>
      <c r="J51" s="4" t="s">
        <v>19</v>
      </c>
      <c r="K51" s="4" t="s">
        <v>20</v>
      </c>
      <c r="L51" s="9">
        <v>45334</v>
      </c>
      <c r="M51" s="9" t="str">
        <f>TEXT(Source_data[[#This Row],[Listing_Date]],"mmm-yy")</f>
        <v>Feb-24</v>
      </c>
      <c r="N51" s="4">
        <f t="shared" si="0"/>
        <v>5967.0830985915491</v>
      </c>
      <c r="O51" s="3" cm="1">
        <f t="array" ref="O51">_xlfn.IFS(AND(K51="Broker",J51="Resale"),F51*0.5,AND(K51="Owner",J51="Resale"),F51*0,AND(K51="Builder",J51="Resale"),F51*0.3,AND(J51="New",K51="Broker"),F51*0.1,AND(J51="New",K51="Owner"),F51*0,AND(J51="New",K51="Builder"),F51*0.5)</f>
        <v>847325.8</v>
      </c>
    </row>
    <row r="52" spans="1:15" x14ac:dyDescent="0.3">
      <c r="A52" s="8" t="s">
        <v>81</v>
      </c>
      <c r="B52" s="4" t="s">
        <v>16</v>
      </c>
      <c r="C52" s="4" t="s">
        <v>35</v>
      </c>
      <c r="D52" s="4">
        <v>2</v>
      </c>
      <c r="E52" s="4">
        <v>1592</v>
      </c>
      <c r="F52" s="4">
        <v>10306786</v>
      </c>
      <c r="G52" s="4">
        <v>2</v>
      </c>
      <c r="H52" s="4">
        <v>3</v>
      </c>
      <c r="I52" s="4" t="s">
        <v>27</v>
      </c>
      <c r="J52" s="4" t="s">
        <v>19</v>
      </c>
      <c r="K52" s="4" t="s">
        <v>24</v>
      </c>
      <c r="L52" s="9">
        <v>45612</v>
      </c>
      <c r="M52" s="9" t="str">
        <f>TEXT(Source_data[[#This Row],[Listing_Date]],"mmm-yy")</f>
        <v>Nov-24</v>
      </c>
      <c r="N52" s="4">
        <f t="shared" si="0"/>
        <v>6474.1118090452264</v>
      </c>
      <c r="O52" s="3" cm="1">
        <f t="array" ref="O52">_xlfn.IFS(AND(K52="Broker",J52="Resale"),F52*0.5,AND(K52="Owner",J52="Resale"),F52*0,AND(K52="Builder",J52="Resale"),F52*0.3,AND(J52="New",K52="Broker"),F52*0.1,AND(J52="New",K52="Owner"),F52*0,AND(J52="New",K52="Builder"),F52*0.5)</f>
        <v>5153393</v>
      </c>
    </row>
    <row r="53" spans="1:15" x14ac:dyDescent="0.3">
      <c r="A53" s="8" t="s">
        <v>82</v>
      </c>
      <c r="B53" s="4" t="s">
        <v>16</v>
      </c>
      <c r="C53" s="4" t="s">
        <v>35</v>
      </c>
      <c r="D53" s="4">
        <v>3</v>
      </c>
      <c r="E53" s="4">
        <v>1001</v>
      </c>
      <c r="F53" s="4">
        <v>5980724</v>
      </c>
      <c r="G53" s="4">
        <v>3</v>
      </c>
      <c r="H53" s="4">
        <v>0</v>
      </c>
      <c r="I53" s="4" t="s">
        <v>18</v>
      </c>
      <c r="J53" s="4" t="s">
        <v>19</v>
      </c>
      <c r="K53" s="4" t="s">
        <v>24</v>
      </c>
      <c r="L53" s="9">
        <v>45223</v>
      </c>
      <c r="M53" s="9" t="str">
        <f>TEXT(Source_data[[#This Row],[Listing_Date]],"mmm-yy")</f>
        <v>Oct-23</v>
      </c>
      <c r="N53" s="4">
        <f t="shared" si="0"/>
        <v>5974.7492507492507</v>
      </c>
      <c r="O53" s="3" cm="1">
        <f t="array" ref="O53">_xlfn.IFS(AND(K53="Broker",J53="Resale"),F53*0.5,AND(K53="Owner",J53="Resale"),F53*0,AND(K53="Builder",J53="Resale"),F53*0.3,AND(J53="New",K53="Broker"),F53*0.1,AND(J53="New",K53="Owner"),F53*0,AND(J53="New",K53="Builder"),F53*0.5)</f>
        <v>2990362</v>
      </c>
    </row>
    <row r="54" spans="1:15" x14ac:dyDescent="0.3">
      <c r="A54" s="8" t="s">
        <v>83</v>
      </c>
      <c r="B54" s="4" t="s">
        <v>16</v>
      </c>
      <c r="C54" s="4" t="s">
        <v>35</v>
      </c>
      <c r="D54" s="4">
        <v>2</v>
      </c>
      <c r="E54" s="4">
        <v>985</v>
      </c>
      <c r="F54" s="4">
        <v>6513713</v>
      </c>
      <c r="G54" s="4">
        <v>2</v>
      </c>
      <c r="H54" s="4">
        <v>1</v>
      </c>
      <c r="I54" s="4" t="s">
        <v>18</v>
      </c>
      <c r="J54" s="4" t="s">
        <v>19</v>
      </c>
      <c r="K54" s="4" t="s">
        <v>36</v>
      </c>
      <c r="L54" s="9">
        <v>45823</v>
      </c>
      <c r="M54" s="9" t="str">
        <f>TEXT(Source_data[[#This Row],[Listing_Date]],"mmm-yy")</f>
        <v>Jun-25</v>
      </c>
      <c r="N54" s="4">
        <f t="shared" si="0"/>
        <v>6612.9065989847713</v>
      </c>
      <c r="O54" s="3" cm="1">
        <f t="array" ref="O54">_xlfn.IFS(AND(K54="Broker",J54="Resale"),F54*0.5,AND(K54="Owner",J54="Resale"),F54*0,AND(K54="Builder",J54="Resale"),F54*0.3,AND(J54="New",K54="Broker"),F54*0.1,AND(J54="New",K54="Owner"),F54*0,AND(J54="New",K54="Builder"),F54*0.5)</f>
        <v>0</v>
      </c>
    </row>
    <row r="55" spans="1:15" x14ac:dyDescent="0.3">
      <c r="A55" s="8" t="s">
        <v>84</v>
      </c>
      <c r="B55" s="4" t="s">
        <v>16</v>
      </c>
      <c r="C55" s="4" t="s">
        <v>26</v>
      </c>
      <c r="D55" s="4">
        <v>2</v>
      </c>
      <c r="E55" s="4">
        <v>778</v>
      </c>
      <c r="F55" s="4">
        <v>5152222</v>
      </c>
      <c r="G55" s="4">
        <v>3</v>
      </c>
      <c r="H55" s="4">
        <v>1</v>
      </c>
      <c r="I55" s="4" t="s">
        <v>18</v>
      </c>
      <c r="J55" s="4" t="s">
        <v>19</v>
      </c>
      <c r="K55" s="4" t="s">
        <v>24</v>
      </c>
      <c r="L55" s="9">
        <v>45902</v>
      </c>
      <c r="M55" s="9" t="str">
        <f>TEXT(Source_data[[#This Row],[Listing_Date]],"mmm-yy")</f>
        <v>Sep-25</v>
      </c>
      <c r="N55" s="4">
        <f t="shared" si="0"/>
        <v>6622.3933161953728</v>
      </c>
      <c r="O55" s="3" cm="1">
        <f t="array" ref="O55">_xlfn.IFS(AND(K55="Broker",J55="Resale"),F55*0.5,AND(K55="Owner",J55="Resale"),F55*0,AND(K55="Builder",J55="Resale"),F55*0.3,AND(J55="New",K55="Broker"),F55*0.1,AND(J55="New",K55="Owner"),F55*0,AND(J55="New",K55="Builder"),F55*0.5)</f>
        <v>2576111</v>
      </c>
    </row>
    <row r="56" spans="1:15" x14ac:dyDescent="0.3">
      <c r="A56" s="8" t="s">
        <v>85</v>
      </c>
      <c r="B56" s="4" t="s">
        <v>16</v>
      </c>
      <c r="C56" s="4" t="s">
        <v>26</v>
      </c>
      <c r="D56" s="4">
        <v>2</v>
      </c>
      <c r="E56" s="4">
        <v>679</v>
      </c>
      <c r="F56" s="4">
        <v>3920021</v>
      </c>
      <c r="G56" s="4">
        <v>2</v>
      </c>
      <c r="H56" s="4">
        <v>1</v>
      </c>
      <c r="I56" s="4" t="s">
        <v>18</v>
      </c>
      <c r="J56" s="4" t="s">
        <v>23</v>
      </c>
      <c r="K56" s="4" t="s">
        <v>36</v>
      </c>
      <c r="L56" s="9">
        <v>45795</v>
      </c>
      <c r="M56" s="9" t="str">
        <f>TEXT(Source_data[[#This Row],[Listing_Date]],"mmm-yy")</f>
        <v>May-25</v>
      </c>
      <c r="N56" s="4">
        <f t="shared" si="0"/>
        <v>5773.2268041237112</v>
      </c>
      <c r="O56" s="3" cm="1">
        <f t="array" ref="O56">_xlfn.IFS(AND(K56="Broker",J56="Resale"),F56*0.5,AND(K56="Owner",J56="Resale"),F56*0,AND(K56="Builder",J56="Resale"),F56*0.3,AND(J56="New",K56="Broker"),F56*0.1,AND(J56="New",K56="Owner"),F56*0,AND(J56="New",K56="Builder"),F56*0.5)</f>
        <v>0</v>
      </c>
    </row>
    <row r="57" spans="1:15" x14ac:dyDescent="0.3">
      <c r="A57" s="8" t="s">
        <v>86</v>
      </c>
      <c r="B57" s="4" t="s">
        <v>16</v>
      </c>
      <c r="C57" s="4" t="s">
        <v>53</v>
      </c>
      <c r="D57" s="4">
        <v>2</v>
      </c>
      <c r="E57" s="4">
        <v>1173</v>
      </c>
      <c r="F57" s="4">
        <v>7265856</v>
      </c>
      <c r="G57" s="4">
        <v>2</v>
      </c>
      <c r="H57" s="4">
        <v>3</v>
      </c>
      <c r="I57" s="4" t="s">
        <v>27</v>
      </c>
      <c r="J57" s="4" t="s">
        <v>19</v>
      </c>
      <c r="K57" s="4" t="s">
        <v>20</v>
      </c>
      <c r="L57" s="9">
        <v>45336</v>
      </c>
      <c r="M57" s="9" t="str">
        <f>TEXT(Source_data[[#This Row],[Listing_Date]],"mmm-yy")</f>
        <v>Feb-24</v>
      </c>
      <c r="N57" s="4">
        <f t="shared" si="0"/>
        <v>6194.2506393861895</v>
      </c>
      <c r="O57" s="3" cm="1">
        <f t="array" ref="O57">_xlfn.IFS(AND(K57="Broker",J57="Resale"),F57*0.5,AND(K57="Owner",J57="Resale"),F57*0,AND(K57="Builder",J57="Resale"),F57*0.3,AND(J57="New",K57="Broker"),F57*0.1,AND(J57="New",K57="Owner"),F57*0,AND(J57="New",K57="Builder"),F57*0.5)</f>
        <v>726585.60000000009</v>
      </c>
    </row>
    <row r="58" spans="1:15" x14ac:dyDescent="0.3">
      <c r="A58" s="8" t="s">
        <v>87</v>
      </c>
      <c r="B58" s="4" t="s">
        <v>16</v>
      </c>
      <c r="C58" s="4" t="s">
        <v>22</v>
      </c>
      <c r="D58" s="4">
        <v>3</v>
      </c>
      <c r="E58" s="4">
        <v>1944</v>
      </c>
      <c r="F58" s="4">
        <v>9274829</v>
      </c>
      <c r="G58" s="4">
        <v>3</v>
      </c>
      <c r="H58" s="4">
        <v>1</v>
      </c>
      <c r="I58" s="4" t="s">
        <v>27</v>
      </c>
      <c r="J58" s="4" t="s">
        <v>19</v>
      </c>
      <c r="K58" s="4" t="s">
        <v>24</v>
      </c>
      <c r="L58" s="9">
        <v>45350</v>
      </c>
      <c r="M58" s="9" t="str">
        <f>TEXT(Source_data[[#This Row],[Listing_Date]],"mmm-yy")</f>
        <v>Feb-24</v>
      </c>
      <c r="N58" s="4">
        <f t="shared" si="0"/>
        <v>4771.0025720164613</v>
      </c>
      <c r="O58" s="3" cm="1">
        <f t="array" ref="O58">_xlfn.IFS(AND(K58="Broker",J58="Resale"),F58*0.5,AND(K58="Owner",J58="Resale"),F58*0,AND(K58="Builder",J58="Resale"),F58*0.3,AND(J58="New",K58="Broker"),F58*0.1,AND(J58="New",K58="Owner"),F58*0,AND(J58="New",K58="Builder"),F58*0.5)</f>
        <v>4637414.5</v>
      </c>
    </row>
    <row r="59" spans="1:15" x14ac:dyDescent="0.3">
      <c r="A59" s="8" t="s">
        <v>88</v>
      </c>
      <c r="B59" s="4" t="s">
        <v>16</v>
      </c>
      <c r="C59" s="4" t="s">
        <v>31</v>
      </c>
      <c r="D59" s="4">
        <v>1</v>
      </c>
      <c r="E59" s="4">
        <v>654</v>
      </c>
      <c r="F59" s="4">
        <v>3526647</v>
      </c>
      <c r="G59" s="4">
        <v>1</v>
      </c>
      <c r="H59" s="4">
        <v>1</v>
      </c>
      <c r="I59" s="4" t="s">
        <v>27</v>
      </c>
      <c r="J59" s="4" t="s">
        <v>23</v>
      </c>
      <c r="K59" s="4" t="s">
        <v>24</v>
      </c>
      <c r="L59" s="9">
        <v>45288</v>
      </c>
      <c r="M59" s="9" t="str">
        <f>TEXT(Source_data[[#This Row],[Listing_Date]],"mmm-yy")</f>
        <v>Dec-23</v>
      </c>
      <c r="N59" s="4">
        <f t="shared" si="0"/>
        <v>5392.4266055045873</v>
      </c>
      <c r="O59" s="3" cm="1">
        <f t="array" ref="O59">_xlfn.IFS(AND(K59="Broker",J59="Resale"),F59*0.5,AND(K59="Owner",J59="Resale"),F59*0,AND(K59="Builder",J59="Resale"),F59*0.3,AND(J59="New",K59="Broker"),F59*0.1,AND(J59="New",K59="Owner"),F59*0,AND(J59="New",K59="Builder"),F59*0.5)</f>
        <v>1057994.0999999999</v>
      </c>
    </row>
    <row r="60" spans="1:15" x14ac:dyDescent="0.3">
      <c r="A60" s="8" t="s">
        <v>89</v>
      </c>
      <c r="B60" s="4" t="s">
        <v>16</v>
      </c>
      <c r="C60" s="4" t="s">
        <v>35</v>
      </c>
      <c r="D60" s="4">
        <v>3</v>
      </c>
      <c r="E60" s="4">
        <v>895</v>
      </c>
      <c r="F60" s="4">
        <v>6301139</v>
      </c>
      <c r="G60" s="4">
        <v>3</v>
      </c>
      <c r="H60" s="4">
        <v>3</v>
      </c>
      <c r="I60" s="4" t="s">
        <v>18</v>
      </c>
      <c r="J60" s="4" t="s">
        <v>23</v>
      </c>
      <c r="K60" s="4" t="s">
        <v>36</v>
      </c>
      <c r="L60" s="9">
        <v>45648</v>
      </c>
      <c r="M60" s="9" t="str">
        <f>TEXT(Source_data[[#This Row],[Listing_Date]],"mmm-yy")</f>
        <v>Dec-24</v>
      </c>
      <c r="N60" s="4">
        <f t="shared" si="0"/>
        <v>7040.378770949721</v>
      </c>
      <c r="O60" s="3" cm="1">
        <f t="array" ref="O60">_xlfn.IFS(AND(K60="Broker",J60="Resale"),F60*0.5,AND(K60="Owner",J60="Resale"),F60*0,AND(K60="Builder",J60="Resale"),F60*0.3,AND(J60="New",K60="Broker"),F60*0.1,AND(J60="New",K60="Owner"),F60*0,AND(J60="New",K60="Builder"),F60*0.5)</f>
        <v>0</v>
      </c>
    </row>
    <row r="61" spans="1:15" x14ac:dyDescent="0.3">
      <c r="A61" s="8" t="s">
        <v>90</v>
      </c>
      <c r="B61" s="4" t="s">
        <v>16</v>
      </c>
      <c r="C61" s="4" t="s">
        <v>22</v>
      </c>
      <c r="D61" s="4">
        <v>3</v>
      </c>
      <c r="E61" s="4">
        <v>1290</v>
      </c>
      <c r="F61" s="4">
        <v>7989129</v>
      </c>
      <c r="G61" s="4">
        <v>2</v>
      </c>
      <c r="H61" s="4">
        <v>2</v>
      </c>
      <c r="I61" s="4" t="s">
        <v>18</v>
      </c>
      <c r="J61" s="4" t="s">
        <v>23</v>
      </c>
      <c r="K61" s="4" t="s">
        <v>36</v>
      </c>
      <c r="L61" s="9">
        <v>45382</v>
      </c>
      <c r="M61" s="9" t="str">
        <f>TEXT(Source_data[[#This Row],[Listing_Date]],"mmm-yy")</f>
        <v>Mar-24</v>
      </c>
      <c r="N61" s="4">
        <f t="shared" si="0"/>
        <v>6193.1232558139536</v>
      </c>
      <c r="O61" s="3" cm="1">
        <f t="array" ref="O61">_xlfn.IFS(AND(K61="Broker",J61="Resale"),F61*0.5,AND(K61="Owner",J61="Resale"),F61*0,AND(K61="Builder",J61="Resale"),F61*0.3,AND(J61="New",K61="Broker"),F61*0.1,AND(J61="New",K61="Owner"),F61*0,AND(J61="New",K61="Builder"),F61*0.5)</f>
        <v>0</v>
      </c>
    </row>
    <row r="62" spans="1:15" x14ac:dyDescent="0.3">
      <c r="A62" s="8" t="s">
        <v>91</v>
      </c>
      <c r="B62" s="4" t="s">
        <v>16</v>
      </c>
      <c r="C62" s="4" t="s">
        <v>35</v>
      </c>
      <c r="D62" s="4">
        <v>2</v>
      </c>
      <c r="E62" s="4">
        <v>937</v>
      </c>
      <c r="F62" s="4">
        <v>6218215</v>
      </c>
      <c r="G62" s="4">
        <v>2</v>
      </c>
      <c r="H62" s="4">
        <v>3</v>
      </c>
      <c r="I62" s="4" t="s">
        <v>18</v>
      </c>
      <c r="J62" s="4" t="s">
        <v>19</v>
      </c>
      <c r="K62" s="4" t="s">
        <v>20</v>
      </c>
      <c r="L62" s="9">
        <v>45259</v>
      </c>
      <c r="M62" s="9" t="str">
        <f>TEXT(Source_data[[#This Row],[Listing_Date]],"mmm-yy")</f>
        <v>Nov-23</v>
      </c>
      <c r="N62" s="4">
        <f t="shared" si="0"/>
        <v>6636.3020277481328</v>
      </c>
      <c r="O62" s="3" cm="1">
        <f t="array" ref="O62">_xlfn.IFS(AND(K62="Broker",J62="Resale"),F62*0.5,AND(K62="Owner",J62="Resale"),F62*0,AND(K62="Builder",J62="Resale"),F62*0.3,AND(J62="New",K62="Broker"),F62*0.1,AND(J62="New",K62="Owner"),F62*0,AND(J62="New",K62="Builder"),F62*0.5)</f>
        <v>621821.5</v>
      </c>
    </row>
    <row r="63" spans="1:15" x14ac:dyDescent="0.3">
      <c r="A63" s="8" t="s">
        <v>92</v>
      </c>
      <c r="B63" s="4" t="s">
        <v>16</v>
      </c>
      <c r="C63" s="4" t="s">
        <v>31</v>
      </c>
      <c r="D63" s="4">
        <v>4</v>
      </c>
      <c r="E63" s="4">
        <v>1204</v>
      </c>
      <c r="F63" s="4">
        <v>12151141</v>
      </c>
      <c r="G63" s="4">
        <v>2</v>
      </c>
      <c r="H63" s="4">
        <v>2</v>
      </c>
      <c r="I63" s="4" t="s">
        <v>8</v>
      </c>
      <c r="J63" s="4" t="s">
        <v>23</v>
      </c>
      <c r="K63" s="4" t="s">
        <v>24</v>
      </c>
      <c r="L63" s="9">
        <v>45314</v>
      </c>
      <c r="M63" s="9" t="str">
        <f>TEXT(Source_data[[#This Row],[Listing_Date]],"mmm-yy")</f>
        <v>Jan-24</v>
      </c>
      <c r="N63" s="4">
        <f t="shared" si="0"/>
        <v>10092.309800664452</v>
      </c>
      <c r="O63" s="3" cm="1">
        <f t="array" ref="O63">_xlfn.IFS(AND(K63="Broker",J63="Resale"),F63*0.5,AND(K63="Owner",J63="Resale"),F63*0,AND(K63="Builder",J63="Resale"),F63*0.3,AND(J63="New",K63="Broker"),F63*0.1,AND(J63="New",K63="Owner"),F63*0,AND(J63="New",K63="Builder"),F63*0.5)</f>
        <v>3645342.3</v>
      </c>
    </row>
    <row r="64" spans="1:15" x14ac:dyDescent="0.3">
      <c r="A64" s="8" t="s">
        <v>93</v>
      </c>
      <c r="B64" s="4" t="s">
        <v>16</v>
      </c>
      <c r="C64" s="4" t="s">
        <v>31</v>
      </c>
      <c r="D64" s="4">
        <v>1</v>
      </c>
      <c r="E64" s="4">
        <v>671</v>
      </c>
      <c r="F64" s="4">
        <v>4122279</v>
      </c>
      <c r="G64" s="4">
        <v>1</v>
      </c>
      <c r="H64" s="4">
        <v>0</v>
      </c>
      <c r="I64" s="4" t="s">
        <v>27</v>
      </c>
      <c r="J64" s="4" t="s">
        <v>23</v>
      </c>
      <c r="K64" s="4" t="s">
        <v>24</v>
      </c>
      <c r="L64" s="9">
        <v>45153</v>
      </c>
      <c r="M64" s="9" t="str">
        <f>TEXT(Source_data[[#This Row],[Listing_Date]],"mmm-yy")</f>
        <v>Aug-23</v>
      </c>
      <c r="N64" s="4">
        <f t="shared" si="0"/>
        <v>6143.4858420268256</v>
      </c>
      <c r="O64" s="3" cm="1">
        <f t="array" ref="O64">_xlfn.IFS(AND(K64="Broker",J64="Resale"),F64*0.5,AND(K64="Owner",J64="Resale"),F64*0,AND(K64="Builder",J64="Resale"),F64*0.3,AND(J64="New",K64="Broker"),F64*0.1,AND(J64="New",K64="Owner"),F64*0,AND(J64="New",K64="Builder"),F64*0.5)</f>
        <v>1236683.7</v>
      </c>
    </row>
    <row r="65" spans="1:15" x14ac:dyDescent="0.3">
      <c r="A65" s="8" t="s">
        <v>94</v>
      </c>
      <c r="B65" s="4" t="s">
        <v>16</v>
      </c>
      <c r="C65" s="4" t="s">
        <v>35</v>
      </c>
      <c r="D65" s="4">
        <v>4</v>
      </c>
      <c r="E65" s="4">
        <v>1457</v>
      </c>
      <c r="F65" s="4">
        <v>8928078</v>
      </c>
      <c r="G65" s="4">
        <v>3</v>
      </c>
      <c r="H65" s="4">
        <v>2</v>
      </c>
      <c r="I65" s="4" t="s">
        <v>8</v>
      </c>
      <c r="J65" s="4" t="s">
        <v>23</v>
      </c>
      <c r="K65" s="4" t="s">
        <v>24</v>
      </c>
      <c r="L65" s="9">
        <v>45755</v>
      </c>
      <c r="M65" s="9" t="str">
        <f>TEXT(Source_data[[#This Row],[Listing_Date]],"mmm-yy")</f>
        <v>Apr-25</v>
      </c>
      <c r="N65" s="4">
        <f t="shared" si="0"/>
        <v>6127.7131091283463</v>
      </c>
      <c r="O65" s="3" cm="1">
        <f t="array" ref="O65">_xlfn.IFS(AND(K65="Broker",J65="Resale"),F65*0.5,AND(K65="Owner",J65="Resale"),F65*0,AND(K65="Builder",J65="Resale"),F65*0.3,AND(J65="New",K65="Broker"),F65*0.1,AND(J65="New",K65="Owner"),F65*0,AND(J65="New",K65="Builder"),F65*0.5)</f>
        <v>2678423.4</v>
      </c>
    </row>
    <row r="66" spans="1:15" x14ac:dyDescent="0.3">
      <c r="A66" s="8" t="s">
        <v>95</v>
      </c>
      <c r="B66" s="4" t="s">
        <v>16</v>
      </c>
      <c r="C66" s="4" t="s">
        <v>29</v>
      </c>
      <c r="D66" s="4">
        <v>2</v>
      </c>
      <c r="E66" s="4">
        <v>795</v>
      </c>
      <c r="F66" s="4">
        <v>5703795</v>
      </c>
      <c r="G66" s="4">
        <v>2</v>
      </c>
      <c r="H66" s="4">
        <v>1</v>
      </c>
      <c r="I66" s="4" t="s">
        <v>8</v>
      </c>
      <c r="J66" s="4" t="s">
        <v>23</v>
      </c>
      <c r="K66" s="4" t="s">
        <v>36</v>
      </c>
      <c r="L66" s="9">
        <v>45749</v>
      </c>
      <c r="M66" s="9" t="str">
        <f>TEXT(Source_data[[#This Row],[Listing_Date]],"mmm-yy")</f>
        <v>Apr-25</v>
      </c>
      <c r="N66" s="4">
        <f t="shared" si="0"/>
        <v>7174.5849056603774</v>
      </c>
      <c r="O66" s="3" cm="1">
        <f t="array" ref="O66">_xlfn.IFS(AND(K66="Broker",J66="Resale"),F66*0.5,AND(K66="Owner",J66="Resale"),F66*0,AND(K66="Builder",J66="Resale"),F66*0.3,AND(J66="New",K66="Broker"),F66*0.1,AND(J66="New",K66="Owner"),F66*0,AND(J66="New",K66="Builder"),F66*0.5)</f>
        <v>0</v>
      </c>
    </row>
    <row r="67" spans="1:15" x14ac:dyDescent="0.3">
      <c r="A67" s="8" t="s">
        <v>96</v>
      </c>
      <c r="B67" s="4" t="s">
        <v>16</v>
      </c>
      <c r="C67" s="4" t="s">
        <v>31</v>
      </c>
      <c r="D67" s="4">
        <v>3</v>
      </c>
      <c r="E67" s="4">
        <v>1364</v>
      </c>
      <c r="F67" s="4">
        <v>6767339</v>
      </c>
      <c r="G67" s="4">
        <v>3</v>
      </c>
      <c r="H67" s="4">
        <v>1</v>
      </c>
      <c r="I67" s="4" t="s">
        <v>27</v>
      </c>
      <c r="J67" s="4" t="s">
        <v>19</v>
      </c>
      <c r="K67" s="4" t="s">
        <v>24</v>
      </c>
      <c r="L67" s="9">
        <v>45658</v>
      </c>
      <c r="M67" s="9" t="str">
        <f>TEXT(Source_data[[#This Row],[Listing_Date]],"mmm-yy")</f>
        <v>Jan-25</v>
      </c>
      <c r="N67" s="4">
        <f t="shared" ref="N67:N130" si="1">F67/E67</f>
        <v>4961.3922287390033</v>
      </c>
      <c r="O67" s="3" cm="1">
        <f t="array" ref="O67">_xlfn.IFS(AND(K67="Broker",J67="Resale"),F67*0.5,AND(K67="Owner",J67="Resale"),F67*0,AND(K67="Builder",J67="Resale"),F67*0.3,AND(J67="New",K67="Broker"),F67*0.1,AND(J67="New",K67="Owner"),F67*0,AND(J67="New",K67="Builder"),F67*0.5)</f>
        <v>3383669.5</v>
      </c>
    </row>
    <row r="68" spans="1:15" x14ac:dyDescent="0.3">
      <c r="A68" s="8" t="s">
        <v>97</v>
      </c>
      <c r="B68" s="4" t="s">
        <v>16</v>
      </c>
      <c r="C68" s="4" t="s">
        <v>53</v>
      </c>
      <c r="D68" s="4">
        <v>2</v>
      </c>
      <c r="E68" s="4">
        <v>1315</v>
      </c>
      <c r="F68" s="4">
        <v>9296406</v>
      </c>
      <c r="G68" s="4">
        <v>2</v>
      </c>
      <c r="H68" s="4">
        <v>3</v>
      </c>
      <c r="I68" s="4" t="s">
        <v>18</v>
      </c>
      <c r="J68" s="4" t="s">
        <v>23</v>
      </c>
      <c r="K68" s="4" t="s">
        <v>36</v>
      </c>
      <c r="L68" s="9">
        <v>45194</v>
      </c>
      <c r="M68" s="9" t="str">
        <f>TEXT(Source_data[[#This Row],[Listing_Date]],"mmm-yy")</f>
        <v>Sep-23</v>
      </c>
      <c r="N68" s="4">
        <f t="shared" si="1"/>
        <v>7069.5102661596957</v>
      </c>
      <c r="O68" s="3" cm="1">
        <f t="array" ref="O68">_xlfn.IFS(AND(K68="Broker",J68="Resale"),F68*0.5,AND(K68="Owner",J68="Resale"),F68*0,AND(K68="Builder",J68="Resale"),F68*0.3,AND(J68="New",K68="Broker"),F68*0.1,AND(J68="New",K68="Owner"),F68*0,AND(J68="New",K68="Builder"),F68*0.5)</f>
        <v>0</v>
      </c>
    </row>
    <row r="69" spans="1:15" x14ac:dyDescent="0.3">
      <c r="A69" s="8" t="s">
        <v>98</v>
      </c>
      <c r="B69" s="4" t="s">
        <v>16</v>
      </c>
      <c r="C69" s="4" t="s">
        <v>26</v>
      </c>
      <c r="D69" s="4">
        <v>1</v>
      </c>
      <c r="E69" s="4">
        <v>755</v>
      </c>
      <c r="F69" s="4">
        <v>4719065</v>
      </c>
      <c r="G69" s="4">
        <v>1</v>
      </c>
      <c r="H69" s="4">
        <v>4</v>
      </c>
      <c r="I69" s="4" t="s">
        <v>27</v>
      </c>
      <c r="J69" s="4" t="s">
        <v>19</v>
      </c>
      <c r="K69" s="4" t="s">
        <v>36</v>
      </c>
      <c r="L69" s="9">
        <v>45031</v>
      </c>
      <c r="M69" s="9" t="str">
        <f>TEXT(Source_data[[#This Row],[Listing_Date]],"mmm-yy")</f>
        <v>Apr-23</v>
      </c>
      <c r="N69" s="4">
        <f t="shared" si="1"/>
        <v>6250.4172185430461</v>
      </c>
      <c r="O69" s="3" cm="1">
        <f t="array" ref="O69">_xlfn.IFS(AND(K69="Broker",J69="Resale"),F69*0.5,AND(K69="Owner",J69="Resale"),F69*0,AND(K69="Builder",J69="Resale"),F69*0.3,AND(J69="New",K69="Broker"),F69*0.1,AND(J69="New",K69="Owner"),F69*0,AND(J69="New",K69="Builder"),F69*0.5)</f>
        <v>0</v>
      </c>
    </row>
    <row r="70" spans="1:15" x14ac:dyDescent="0.3">
      <c r="A70" s="8" t="s">
        <v>99</v>
      </c>
      <c r="B70" s="4" t="s">
        <v>16</v>
      </c>
      <c r="C70" s="4" t="s">
        <v>26</v>
      </c>
      <c r="D70" s="4">
        <v>2</v>
      </c>
      <c r="E70" s="4">
        <v>850</v>
      </c>
      <c r="F70" s="4">
        <v>6228439</v>
      </c>
      <c r="G70" s="4">
        <v>3</v>
      </c>
      <c r="H70" s="4">
        <v>2</v>
      </c>
      <c r="I70" s="4" t="s">
        <v>8</v>
      </c>
      <c r="J70" s="4" t="s">
        <v>19</v>
      </c>
      <c r="K70" s="4" t="s">
        <v>36</v>
      </c>
      <c r="L70" s="9">
        <v>45899</v>
      </c>
      <c r="M70" s="9" t="str">
        <f>TEXT(Source_data[[#This Row],[Listing_Date]],"mmm-yy")</f>
        <v>Aug-25</v>
      </c>
      <c r="N70" s="4">
        <f t="shared" si="1"/>
        <v>7327.575294117647</v>
      </c>
      <c r="O70" s="3" cm="1">
        <f t="array" ref="O70">_xlfn.IFS(AND(K70="Broker",J70="Resale"),F70*0.5,AND(K70="Owner",J70="Resale"),F70*0,AND(K70="Builder",J70="Resale"),F70*0.3,AND(J70="New",K70="Broker"),F70*0.1,AND(J70="New",K70="Owner"),F70*0,AND(J70="New",K70="Builder"),F70*0.5)</f>
        <v>0</v>
      </c>
    </row>
    <row r="71" spans="1:15" x14ac:dyDescent="0.3">
      <c r="A71" s="8" t="s">
        <v>100</v>
      </c>
      <c r="B71" s="4" t="s">
        <v>16</v>
      </c>
      <c r="C71" s="4" t="s">
        <v>35</v>
      </c>
      <c r="D71" s="4">
        <v>2</v>
      </c>
      <c r="E71" s="4">
        <v>1204</v>
      </c>
      <c r="F71" s="4">
        <v>12066956</v>
      </c>
      <c r="G71" s="4">
        <v>2</v>
      </c>
      <c r="H71" s="4">
        <v>2</v>
      </c>
      <c r="I71" s="4" t="s">
        <v>8</v>
      </c>
      <c r="J71" s="4" t="s">
        <v>19</v>
      </c>
      <c r="K71" s="4" t="s">
        <v>24</v>
      </c>
      <c r="L71" s="9">
        <v>45596</v>
      </c>
      <c r="M71" s="9" t="str">
        <f>TEXT(Source_data[[#This Row],[Listing_Date]],"mmm-yy")</f>
        <v>Oct-24</v>
      </c>
      <c r="N71" s="4">
        <f t="shared" si="1"/>
        <v>10022.388704318937</v>
      </c>
      <c r="O71" s="3" cm="1">
        <f t="array" ref="O71">_xlfn.IFS(AND(K71="Broker",J71="Resale"),F71*0.5,AND(K71="Owner",J71="Resale"),F71*0,AND(K71="Builder",J71="Resale"),F71*0.3,AND(J71="New",K71="Broker"),F71*0.1,AND(J71="New",K71="Owner"),F71*0,AND(J71="New",K71="Builder"),F71*0.5)</f>
        <v>6033478</v>
      </c>
    </row>
    <row r="72" spans="1:15" x14ac:dyDescent="0.3">
      <c r="A72" s="8" t="s">
        <v>101</v>
      </c>
      <c r="B72" s="4" t="s">
        <v>16</v>
      </c>
      <c r="C72" s="4" t="s">
        <v>29</v>
      </c>
      <c r="D72" s="4">
        <v>3</v>
      </c>
      <c r="E72" s="4">
        <v>1073</v>
      </c>
      <c r="F72" s="4">
        <v>5638488</v>
      </c>
      <c r="G72" s="4">
        <v>3</v>
      </c>
      <c r="H72" s="4">
        <v>2</v>
      </c>
      <c r="I72" s="4" t="s">
        <v>18</v>
      </c>
      <c r="J72" s="4" t="s">
        <v>23</v>
      </c>
      <c r="K72" s="4" t="s">
        <v>36</v>
      </c>
      <c r="L72" s="9">
        <v>45133</v>
      </c>
      <c r="M72" s="9" t="str">
        <f>TEXT(Source_data[[#This Row],[Listing_Date]],"mmm-yy")</f>
        <v>Jul-23</v>
      </c>
      <c r="N72" s="4">
        <f t="shared" si="1"/>
        <v>5254.8816402609509</v>
      </c>
      <c r="O72" s="3" cm="1">
        <f t="array" ref="O72">_xlfn.IFS(AND(K72="Broker",J72="Resale"),F72*0.5,AND(K72="Owner",J72="Resale"),F72*0,AND(K72="Builder",J72="Resale"),F72*0.3,AND(J72="New",K72="Broker"),F72*0.1,AND(J72="New",K72="Owner"),F72*0,AND(J72="New",K72="Builder"),F72*0.5)</f>
        <v>0</v>
      </c>
    </row>
    <row r="73" spans="1:15" x14ac:dyDescent="0.3">
      <c r="A73" s="8" t="s">
        <v>102</v>
      </c>
      <c r="B73" s="4" t="s">
        <v>16</v>
      </c>
      <c r="C73" s="4" t="s">
        <v>53</v>
      </c>
      <c r="D73" s="4">
        <v>4</v>
      </c>
      <c r="E73" s="4">
        <v>1854</v>
      </c>
      <c r="F73" s="4">
        <v>11071486</v>
      </c>
      <c r="G73" s="4">
        <v>3</v>
      </c>
      <c r="H73" s="4">
        <v>2</v>
      </c>
      <c r="I73" s="4" t="s">
        <v>8</v>
      </c>
      <c r="J73" s="4" t="s">
        <v>19</v>
      </c>
      <c r="K73" s="4" t="s">
        <v>20</v>
      </c>
      <c r="L73" s="9">
        <v>45658</v>
      </c>
      <c r="M73" s="9" t="str">
        <f>TEXT(Source_data[[#This Row],[Listing_Date]],"mmm-yy")</f>
        <v>Jan-25</v>
      </c>
      <c r="N73" s="4">
        <f t="shared" si="1"/>
        <v>5971.6752966558788</v>
      </c>
      <c r="O73" s="3" cm="1">
        <f t="array" ref="O73">_xlfn.IFS(AND(K73="Broker",J73="Resale"),F73*0.5,AND(K73="Owner",J73="Resale"),F73*0,AND(K73="Builder",J73="Resale"),F73*0.3,AND(J73="New",K73="Broker"),F73*0.1,AND(J73="New",K73="Owner"),F73*0,AND(J73="New",K73="Builder"),F73*0.5)</f>
        <v>1107148.6000000001</v>
      </c>
    </row>
    <row r="74" spans="1:15" x14ac:dyDescent="0.3">
      <c r="A74" s="8" t="s">
        <v>103</v>
      </c>
      <c r="B74" s="4" t="s">
        <v>16</v>
      </c>
      <c r="C74" s="4" t="s">
        <v>53</v>
      </c>
      <c r="D74" s="4">
        <v>4</v>
      </c>
      <c r="E74" s="4">
        <v>1924</v>
      </c>
      <c r="F74" s="4">
        <v>12088966</v>
      </c>
      <c r="G74" s="4">
        <v>4</v>
      </c>
      <c r="H74" s="4">
        <v>1</v>
      </c>
      <c r="I74" s="4" t="s">
        <v>27</v>
      </c>
      <c r="J74" s="4" t="s">
        <v>23</v>
      </c>
      <c r="K74" s="4" t="s">
        <v>36</v>
      </c>
      <c r="L74" s="9">
        <v>45497</v>
      </c>
      <c r="M74" s="9" t="str">
        <f>TEXT(Source_data[[#This Row],[Listing_Date]],"mmm-yy")</f>
        <v>Jul-24</v>
      </c>
      <c r="N74" s="4">
        <f t="shared" si="1"/>
        <v>6283.2463617463618</v>
      </c>
      <c r="O74" s="3" cm="1">
        <f t="array" ref="O74">_xlfn.IFS(AND(K74="Broker",J74="Resale"),F74*0.5,AND(K74="Owner",J74="Resale"),F74*0,AND(K74="Builder",J74="Resale"),F74*0.3,AND(J74="New",K74="Broker"),F74*0.1,AND(J74="New",K74="Owner"),F74*0,AND(J74="New",K74="Builder"),F74*0.5)</f>
        <v>0</v>
      </c>
    </row>
    <row r="75" spans="1:15" x14ac:dyDescent="0.3">
      <c r="A75" s="8" t="s">
        <v>104</v>
      </c>
      <c r="B75" s="4" t="s">
        <v>16</v>
      </c>
      <c r="C75" s="4" t="s">
        <v>22</v>
      </c>
      <c r="D75" s="4">
        <v>1</v>
      </c>
      <c r="E75" s="4">
        <v>628</v>
      </c>
      <c r="F75" s="4">
        <v>4419332</v>
      </c>
      <c r="G75" s="4">
        <v>1</v>
      </c>
      <c r="H75" s="4">
        <v>3</v>
      </c>
      <c r="I75" s="4" t="s">
        <v>8</v>
      </c>
      <c r="J75" s="4" t="s">
        <v>19</v>
      </c>
      <c r="K75" s="4" t="s">
        <v>20</v>
      </c>
      <c r="L75" s="9">
        <v>45164</v>
      </c>
      <c r="M75" s="9" t="str">
        <f>TEXT(Source_data[[#This Row],[Listing_Date]],"mmm-yy")</f>
        <v>Aug-23</v>
      </c>
      <c r="N75" s="4">
        <f t="shared" si="1"/>
        <v>7037.1528662420378</v>
      </c>
      <c r="O75" s="3" cm="1">
        <f t="array" ref="O75">_xlfn.IFS(AND(K75="Broker",J75="Resale"),F75*0.5,AND(K75="Owner",J75="Resale"),F75*0,AND(K75="Builder",J75="Resale"),F75*0.3,AND(J75="New",K75="Broker"),F75*0.1,AND(J75="New",K75="Owner"),F75*0,AND(J75="New",K75="Builder"),F75*0.5)</f>
        <v>441933.2</v>
      </c>
    </row>
    <row r="76" spans="1:15" x14ac:dyDescent="0.3">
      <c r="A76" s="8" t="s">
        <v>105</v>
      </c>
      <c r="B76" s="4" t="s">
        <v>16</v>
      </c>
      <c r="C76" s="4" t="s">
        <v>26</v>
      </c>
      <c r="D76" s="4">
        <v>3</v>
      </c>
      <c r="E76" s="4">
        <v>1527</v>
      </c>
      <c r="F76" s="4">
        <v>9365980</v>
      </c>
      <c r="G76" s="4">
        <v>3</v>
      </c>
      <c r="H76" s="4">
        <v>1</v>
      </c>
      <c r="I76" s="4" t="s">
        <v>27</v>
      </c>
      <c r="J76" s="4" t="s">
        <v>19</v>
      </c>
      <c r="K76" s="4" t="s">
        <v>36</v>
      </c>
      <c r="L76" s="9">
        <v>45117</v>
      </c>
      <c r="M76" s="9" t="str">
        <f>TEXT(Source_data[[#This Row],[Listing_Date]],"mmm-yy")</f>
        <v>Jul-23</v>
      </c>
      <c r="N76" s="4">
        <f t="shared" si="1"/>
        <v>6133.5821872953502</v>
      </c>
      <c r="O76" s="3" cm="1">
        <f t="array" ref="O76">_xlfn.IFS(AND(K76="Broker",J76="Resale"),F76*0.5,AND(K76="Owner",J76="Resale"),F76*0,AND(K76="Builder",J76="Resale"),F76*0.3,AND(J76="New",K76="Broker"),F76*0.1,AND(J76="New",K76="Owner"),F76*0,AND(J76="New",K76="Builder"),F76*0.5)</f>
        <v>0</v>
      </c>
    </row>
    <row r="77" spans="1:15" x14ac:dyDescent="0.3">
      <c r="A77" s="8" t="s">
        <v>106</v>
      </c>
      <c r="B77" s="4" t="s">
        <v>16</v>
      </c>
      <c r="C77" s="4" t="s">
        <v>31</v>
      </c>
      <c r="D77" s="4">
        <v>2</v>
      </c>
      <c r="E77" s="4">
        <v>843</v>
      </c>
      <c r="F77" s="4">
        <v>5789399</v>
      </c>
      <c r="G77" s="4">
        <v>2</v>
      </c>
      <c r="H77" s="4">
        <v>1</v>
      </c>
      <c r="I77" s="4" t="s">
        <v>18</v>
      </c>
      <c r="J77" s="4" t="s">
        <v>23</v>
      </c>
      <c r="K77" s="4" t="s">
        <v>20</v>
      </c>
      <c r="L77" s="9">
        <v>45458</v>
      </c>
      <c r="M77" s="9" t="str">
        <f>TEXT(Source_data[[#This Row],[Listing_Date]],"mmm-yy")</f>
        <v>Jun-24</v>
      </c>
      <c r="N77" s="4">
        <f t="shared" si="1"/>
        <v>6867.6144721233686</v>
      </c>
      <c r="O77" s="3" cm="1">
        <f t="array" ref="O77">_xlfn.IFS(AND(K77="Broker",J77="Resale"),F77*0.5,AND(K77="Owner",J77="Resale"),F77*0,AND(K77="Builder",J77="Resale"),F77*0.3,AND(J77="New",K77="Broker"),F77*0.1,AND(J77="New",K77="Owner"),F77*0,AND(J77="New",K77="Builder"),F77*0.5)</f>
        <v>2894699.5</v>
      </c>
    </row>
    <row r="78" spans="1:15" x14ac:dyDescent="0.3">
      <c r="A78" s="8" t="s">
        <v>107</v>
      </c>
      <c r="B78" s="4" t="s">
        <v>16</v>
      </c>
      <c r="C78" s="4" t="s">
        <v>31</v>
      </c>
      <c r="D78" s="4">
        <v>2</v>
      </c>
      <c r="E78" s="4">
        <v>593</v>
      </c>
      <c r="F78" s="4">
        <v>4169431</v>
      </c>
      <c r="G78" s="4">
        <v>2</v>
      </c>
      <c r="H78" s="4">
        <v>0</v>
      </c>
      <c r="I78" s="4" t="s">
        <v>8</v>
      </c>
      <c r="J78" s="4" t="s">
        <v>23</v>
      </c>
      <c r="K78" s="4" t="s">
        <v>36</v>
      </c>
      <c r="L78" s="9">
        <v>45797</v>
      </c>
      <c r="M78" s="9" t="str">
        <f>TEXT(Source_data[[#This Row],[Listing_Date]],"mmm-yy")</f>
        <v>May-25</v>
      </c>
      <c r="N78" s="4">
        <f t="shared" si="1"/>
        <v>7031.0809443507587</v>
      </c>
      <c r="O78" s="3" cm="1">
        <f t="array" ref="O78">_xlfn.IFS(AND(K78="Broker",J78="Resale"),F78*0.5,AND(K78="Owner",J78="Resale"),F78*0,AND(K78="Builder",J78="Resale"),F78*0.3,AND(J78="New",K78="Broker"),F78*0.1,AND(J78="New",K78="Owner"),F78*0,AND(J78="New",K78="Builder"),F78*0.5)</f>
        <v>0</v>
      </c>
    </row>
    <row r="79" spans="1:15" x14ac:dyDescent="0.3">
      <c r="A79" s="8" t="s">
        <v>108</v>
      </c>
      <c r="B79" s="4" t="s">
        <v>16</v>
      </c>
      <c r="C79" s="4" t="s">
        <v>29</v>
      </c>
      <c r="D79" s="4">
        <v>1</v>
      </c>
      <c r="E79" s="4">
        <v>598</v>
      </c>
      <c r="F79" s="4">
        <v>3559220</v>
      </c>
      <c r="G79" s="4">
        <v>1</v>
      </c>
      <c r="H79" s="4">
        <v>2</v>
      </c>
      <c r="I79" s="4" t="s">
        <v>27</v>
      </c>
      <c r="J79" s="4" t="s">
        <v>19</v>
      </c>
      <c r="K79" s="4" t="s">
        <v>20</v>
      </c>
      <c r="L79" s="9">
        <v>45229</v>
      </c>
      <c r="M79" s="9" t="str">
        <f>TEXT(Source_data[[#This Row],[Listing_Date]],"mmm-yy")</f>
        <v>Oct-23</v>
      </c>
      <c r="N79" s="4">
        <f t="shared" si="1"/>
        <v>5951.8729096989964</v>
      </c>
      <c r="O79" s="3" cm="1">
        <f t="array" ref="O79">_xlfn.IFS(AND(K79="Broker",J79="Resale"),F79*0.5,AND(K79="Owner",J79="Resale"),F79*0,AND(K79="Builder",J79="Resale"),F79*0.3,AND(J79="New",K79="Broker"),F79*0.1,AND(J79="New",K79="Owner"),F79*0,AND(J79="New",K79="Builder"),F79*0.5)</f>
        <v>355922</v>
      </c>
    </row>
    <row r="80" spans="1:15" x14ac:dyDescent="0.3">
      <c r="A80" s="8" t="s">
        <v>109</v>
      </c>
      <c r="B80" s="4" t="s">
        <v>16</v>
      </c>
      <c r="C80" s="4" t="s">
        <v>35</v>
      </c>
      <c r="D80" s="4">
        <v>2</v>
      </c>
      <c r="E80" s="4">
        <v>1250</v>
      </c>
      <c r="F80" s="4">
        <v>7910979</v>
      </c>
      <c r="G80" s="4">
        <v>2</v>
      </c>
      <c r="H80" s="4">
        <v>2</v>
      </c>
      <c r="I80" s="4" t="s">
        <v>18</v>
      </c>
      <c r="J80" s="4" t="s">
        <v>19</v>
      </c>
      <c r="K80" s="4" t="s">
        <v>24</v>
      </c>
      <c r="L80" s="9">
        <v>45319</v>
      </c>
      <c r="M80" s="9" t="str">
        <f>TEXT(Source_data[[#This Row],[Listing_Date]],"mmm-yy")</f>
        <v>Jan-24</v>
      </c>
      <c r="N80" s="4">
        <f t="shared" si="1"/>
        <v>6328.7831999999999</v>
      </c>
      <c r="O80" s="3" cm="1">
        <f t="array" ref="O80">_xlfn.IFS(AND(K80="Broker",J80="Resale"),F80*0.5,AND(K80="Owner",J80="Resale"),F80*0,AND(K80="Builder",J80="Resale"),F80*0.3,AND(J80="New",K80="Broker"),F80*0.1,AND(J80="New",K80="Owner"),F80*0,AND(J80="New",K80="Builder"),F80*0.5)</f>
        <v>3955489.5</v>
      </c>
    </row>
    <row r="81" spans="1:15" x14ac:dyDescent="0.3">
      <c r="A81" s="8" t="s">
        <v>110</v>
      </c>
      <c r="B81" s="4" t="s">
        <v>16</v>
      </c>
      <c r="C81" s="4" t="s">
        <v>29</v>
      </c>
      <c r="D81" s="4">
        <v>2</v>
      </c>
      <c r="E81" s="4">
        <v>795</v>
      </c>
      <c r="F81" s="4">
        <v>5651380</v>
      </c>
      <c r="G81" s="4">
        <v>2</v>
      </c>
      <c r="H81" s="4">
        <v>0</v>
      </c>
      <c r="I81" s="4" t="s">
        <v>27</v>
      </c>
      <c r="J81" s="4" t="s">
        <v>19</v>
      </c>
      <c r="K81" s="4" t="s">
        <v>20</v>
      </c>
      <c r="L81" s="9">
        <v>45448</v>
      </c>
      <c r="M81" s="9" t="str">
        <f>TEXT(Source_data[[#This Row],[Listing_Date]],"mmm-yy")</f>
        <v>Jun-24</v>
      </c>
      <c r="N81" s="4">
        <f t="shared" si="1"/>
        <v>7108.6540880503144</v>
      </c>
      <c r="O81" s="3" cm="1">
        <f t="array" ref="O81">_xlfn.IFS(AND(K81="Broker",J81="Resale"),F81*0.5,AND(K81="Owner",J81="Resale"),F81*0,AND(K81="Builder",J81="Resale"),F81*0.3,AND(J81="New",K81="Broker"),F81*0.1,AND(J81="New",K81="Owner"),F81*0,AND(J81="New",K81="Builder"),F81*0.5)</f>
        <v>565138</v>
      </c>
    </row>
    <row r="82" spans="1:15" x14ac:dyDescent="0.3">
      <c r="A82" s="8" t="s">
        <v>111</v>
      </c>
      <c r="B82" s="4" t="s">
        <v>16</v>
      </c>
      <c r="C82" s="4" t="s">
        <v>53</v>
      </c>
      <c r="D82" s="4">
        <v>2</v>
      </c>
      <c r="E82" s="4">
        <v>1056</v>
      </c>
      <c r="F82" s="4">
        <v>5347263</v>
      </c>
      <c r="G82" s="4">
        <v>2</v>
      </c>
      <c r="H82" s="4">
        <v>0</v>
      </c>
      <c r="I82" s="4" t="s">
        <v>27</v>
      </c>
      <c r="J82" s="4" t="s">
        <v>19</v>
      </c>
      <c r="K82" s="4" t="s">
        <v>36</v>
      </c>
      <c r="L82" s="9">
        <v>45423</v>
      </c>
      <c r="M82" s="9" t="str">
        <f>TEXT(Source_data[[#This Row],[Listing_Date]],"mmm-yy")</f>
        <v>May-24</v>
      </c>
      <c r="N82" s="4">
        <f t="shared" si="1"/>
        <v>5063.696022727273</v>
      </c>
      <c r="O82" s="3" cm="1">
        <f t="array" ref="O82">_xlfn.IFS(AND(K82="Broker",J82="Resale"),F82*0.5,AND(K82="Owner",J82="Resale"),F82*0,AND(K82="Builder",J82="Resale"),F82*0.3,AND(J82="New",K82="Broker"),F82*0.1,AND(J82="New",K82="Owner"),F82*0,AND(J82="New",K82="Builder"),F82*0.5)</f>
        <v>0</v>
      </c>
    </row>
    <row r="83" spans="1:15" x14ac:dyDescent="0.3">
      <c r="A83" s="8" t="s">
        <v>112</v>
      </c>
      <c r="B83" s="4" t="s">
        <v>16</v>
      </c>
      <c r="C83" s="4" t="s">
        <v>35</v>
      </c>
      <c r="D83" s="4">
        <v>5</v>
      </c>
      <c r="E83" s="4">
        <v>2642</v>
      </c>
      <c r="F83" s="4">
        <v>15126096</v>
      </c>
      <c r="G83" s="4">
        <v>3</v>
      </c>
      <c r="H83" s="4">
        <v>2</v>
      </c>
      <c r="I83" s="4" t="s">
        <v>8</v>
      </c>
      <c r="J83" s="4" t="s">
        <v>23</v>
      </c>
      <c r="K83" s="4" t="s">
        <v>20</v>
      </c>
      <c r="L83" s="9">
        <v>45178</v>
      </c>
      <c r="M83" s="9" t="str">
        <f>TEXT(Source_data[[#This Row],[Listing_Date]],"mmm-yy")</f>
        <v>Sep-23</v>
      </c>
      <c r="N83" s="4">
        <f t="shared" si="1"/>
        <v>5725.2445117335355</v>
      </c>
      <c r="O83" s="3" cm="1">
        <f t="array" ref="O83">_xlfn.IFS(AND(K83="Broker",J83="Resale"),F83*0.5,AND(K83="Owner",J83="Resale"),F83*0,AND(K83="Builder",J83="Resale"),F83*0.3,AND(J83="New",K83="Broker"),F83*0.1,AND(J83="New",K83="Owner"),F83*0,AND(J83="New",K83="Builder"),F83*0.5)</f>
        <v>7563048</v>
      </c>
    </row>
    <row r="84" spans="1:15" x14ac:dyDescent="0.3">
      <c r="A84" s="8" t="s">
        <v>15</v>
      </c>
      <c r="B84" s="4" t="s">
        <v>16</v>
      </c>
      <c r="C84" s="4" t="s">
        <v>35</v>
      </c>
      <c r="D84" s="4">
        <v>2</v>
      </c>
      <c r="E84" s="4">
        <v>1024</v>
      </c>
      <c r="F84" s="4">
        <v>6185569</v>
      </c>
      <c r="G84" s="4">
        <v>1</v>
      </c>
      <c r="H84" s="4">
        <v>2</v>
      </c>
      <c r="I84" s="4" t="s">
        <v>8</v>
      </c>
      <c r="J84" s="4" t="s">
        <v>23</v>
      </c>
      <c r="K84" s="4" t="s">
        <v>36</v>
      </c>
      <c r="L84" s="9">
        <v>45071</v>
      </c>
      <c r="M84" s="9" t="str">
        <f>TEXT(Source_data[[#This Row],[Listing_Date]],"mmm-yy")</f>
        <v>May-23</v>
      </c>
      <c r="N84" s="4">
        <f t="shared" si="1"/>
        <v>6040.5947265625</v>
      </c>
      <c r="O84" s="3" cm="1">
        <f t="array" ref="O84">_xlfn.IFS(AND(K84="Broker",J84="Resale"),F84*0.5,AND(K84="Owner",J84="Resale"),F84*0,AND(K84="Builder",J84="Resale"),F84*0.3,AND(J84="New",K84="Broker"),F84*0.1,AND(J84="New",K84="Owner"),F84*0,AND(J84="New",K84="Builder"),F84*0.5)</f>
        <v>0</v>
      </c>
    </row>
    <row r="85" spans="1:15" x14ac:dyDescent="0.3">
      <c r="A85" s="8" t="s">
        <v>113</v>
      </c>
      <c r="B85" s="4" t="s">
        <v>16</v>
      </c>
      <c r="C85" s="4" t="s">
        <v>26</v>
      </c>
      <c r="D85" s="4">
        <v>3</v>
      </c>
      <c r="E85" s="4">
        <v>1100</v>
      </c>
      <c r="F85" s="4">
        <v>8150066</v>
      </c>
      <c r="G85" s="4">
        <v>3</v>
      </c>
      <c r="H85" s="4">
        <v>3</v>
      </c>
      <c r="I85" s="4" t="s">
        <v>27</v>
      </c>
      <c r="J85" s="4" t="s">
        <v>23</v>
      </c>
      <c r="K85" s="4" t="s">
        <v>24</v>
      </c>
      <c r="L85" s="9">
        <v>45644</v>
      </c>
      <c r="M85" s="9" t="str">
        <f>TEXT(Source_data[[#This Row],[Listing_Date]],"mmm-yy")</f>
        <v>Dec-24</v>
      </c>
      <c r="N85" s="4">
        <f t="shared" si="1"/>
        <v>7409.1509090909094</v>
      </c>
      <c r="O85" s="3" cm="1">
        <f t="array" ref="O85">_xlfn.IFS(AND(K85="Broker",J85="Resale"),F85*0.5,AND(K85="Owner",J85="Resale"),F85*0,AND(K85="Builder",J85="Resale"),F85*0.3,AND(J85="New",K85="Broker"),F85*0.1,AND(J85="New",K85="Owner"),F85*0,AND(J85="New",K85="Builder"),F85*0.5)</f>
        <v>2445019.7999999998</v>
      </c>
    </row>
    <row r="86" spans="1:15" x14ac:dyDescent="0.3">
      <c r="A86" s="8" t="s">
        <v>114</v>
      </c>
      <c r="B86" s="4" t="s">
        <v>16</v>
      </c>
      <c r="C86" s="4" t="s">
        <v>22</v>
      </c>
      <c r="D86" s="4">
        <v>1</v>
      </c>
      <c r="E86" s="4">
        <v>452</v>
      </c>
      <c r="F86" s="4">
        <v>2371482</v>
      </c>
      <c r="G86" s="4">
        <v>1</v>
      </c>
      <c r="H86" s="4">
        <v>2</v>
      </c>
      <c r="I86" s="4" t="s">
        <v>18</v>
      </c>
      <c r="J86" s="4" t="s">
        <v>19</v>
      </c>
      <c r="K86" s="4" t="s">
        <v>20</v>
      </c>
      <c r="L86" s="9">
        <v>45317</v>
      </c>
      <c r="M86" s="9" t="str">
        <f>TEXT(Source_data[[#This Row],[Listing_Date]],"mmm-yy")</f>
        <v>Jan-24</v>
      </c>
      <c r="N86" s="4">
        <f t="shared" si="1"/>
        <v>5246.641592920354</v>
      </c>
      <c r="O86" s="3" cm="1">
        <f t="array" ref="O86">_xlfn.IFS(AND(K86="Broker",J86="Resale"),F86*0.5,AND(K86="Owner",J86="Resale"),F86*0,AND(K86="Builder",J86="Resale"),F86*0.3,AND(J86="New",K86="Broker"),F86*0.1,AND(J86="New",K86="Owner"),F86*0,AND(J86="New",K86="Builder"),F86*0.5)</f>
        <v>237148.2</v>
      </c>
    </row>
    <row r="87" spans="1:15" x14ac:dyDescent="0.3">
      <c r="A87" s="8" t="s">
        <v>115</v>
      </c>
      <c r="B87" s="4" t="s">
        <v>16</v>
      </c>
      <c r="C87" s="4" t="s">
        <v>26</v>
      </c>
      <c r="D87" s="4">
        <v>3</v>
      </c>
      <c r="E87" s="4">
        <v>1397</v>
      </c>
      <c r="F87" s="4">
        <v>11338313</v>
      </c>
      <c r="G87" s="4">
        <v>2</v>
      </c>
      <c r="H87" s="4">
        <v>1</v>
      </c>
      <c r="I87" s="4" t="s">
        <v>8</v>
      </c>
      <c r="J87" s="4" t="s">
        <v>19</v>
      </c>
      <c r="K87" s="4" t="s">
        <v>20</v>
      </c>
      <c r="L87" s="9">
        <v>45028</v>
      </c>
      <c r="M87" s="9" t="str">
        <f>TEXT(Source_data[[#This Row],[Listing_Date]],"mmm-yy")</f>
        <v>Apr-23</v>
      </c>
      <c r="N87" s="4">
        <f t="shared" si="1"/>
        <v>8116.1868289191125</v>
      </c>
      <c r="O87" s="3" cm="1">
        <f t="array" ref="O87">_xlfn.IFS(AND(K87="Broker",J87="Resale"),F87*0.5,AND(K87="Owner",J87="Resale"),F87*0,AND(K87="Builder",J87="Resale"),F87*0.3,AND(J87="New",K87="Broker"),F87*0.1,AND(J87="New",K87="Owner"),F87*0,AND(J87="New",K87="Builder"),F87*0.5)</f>
        <v>1133831.3</v>
      </c>
    </row>
    <row r="88" spans="1:15" x14ac:dyDescent="0.3">
      <c r="A88" s="8" t="s">
        <v>116</v>
      </c>
      <c r="B88" s="4" t="s">
        <v>16</v>
      </c>
      <c r="C88" s="4" t="s">
        <v>26</v>
      </c>
      <c r="D88" s="4">
        <v>3</v>
      </c>
      <c r="E88" s="4">
        <v>1820</v>
      </c>
      <c r="F88" s="4">
        <v>13784450</v>
      </c>
      <c r="G88" s="4">
        <v>3</v>
      </c>
      <c r="H88" s="4">
        <v>2</v>
      </c>
      <c r="I88" s="4" t="s">
        <v>27</v>
      </c>
      <c r="J88" s="4" t="s">
        <v>19</v>
      </c>
      <c r="K88" s="4" t="s">
        <v>24</v>
      </c>
      <c r="L88" s="9">
        <v>45932</v>
      </c>
      <c r="M88" s="9" t="str">
        <f>TEXT(Source_data[[#This Row],[Listing_Date]],"mmm-yy")</f>
        <v>Oct-25</v>
      </c>
      <c r="N88" s="4">
        <f t="shared" si="1"/>
        <v>7573.8736263736264</v>
      </c>
      <c r="O88" s="3" cm="1">
        <f t="array" ref="O88">_xlfn.IFS(AND(K88="Broker",J88="Resale"),F88*0.5,AND(K88="Owner",J88="Resale"),F88*0,AND(K88="Builder",J88="Resale"),F88*0.3,AND(J88="New",K88="Broker"),F88*0.1,AND(J88="New",K88="Owner"),F88*0,AND(J88="New",K88="Builder"),F88*0.5)</f>
        <v>6892225</v>
      </c>
    </row>
    <row r="89" spans="1:15" x14ac:dyDescent="0.3">
      <c r="A89" s="8" t="s">
        <v>117</v>
      </c>
      <c r="B89" s="4" t="s">
        <v>16</v>
      </c>
      <c r="C89" s="4" t="s">
        <v>29</v>
      </c>
      <c r="D89" s="4">
        <v>3</v>
      </c>
      <c r="E89" s="4">
        <v>1544</v>
      </c>
      <c r="F89" s="4">
        <v>8267402</v>
      </c>
      <c r="G89" s="4">
        <v>3</v>
      </c>
      <c r="H89" s="4">
        <v>2</v>
      </c>
      <c r="I89" s="4" t="s">
        <v>18</v>
      </c>
      <c r="J89" s="4" t="s">
        <v>23</v>
      </c>
      <c r="K89" s="4" t="s">
        <v>24</v>
      </c>
      <c r="L89" s="9">
        <v>45446</v>
      </c>
      <c r="M89" s="9" t="str">
        <f>TEXT(Source_data[[#This Row],[Listing_Date]],"mmm-yy")</f>
        <v>Jun-24</v>
      </c>
      <c r="N89" s="4">
        <f t="shared" si="1"/>
        <v>5354.5349740932643</v>
      </c>
      <c r="O89" s="3" cm="1">
        <f t="array" ref="O89">_xlfn.IFS(AND(K89="Broker",J89="Resale"),F89*0.5,AND(K89="Owner",J89="Resale"),F89*0,AND(K89="Builder",J89="Resale"),F89*0.3,AND(J89="New",K89="Broker"),F89*0.1,AND(J89="New",K89="Owner"),F89*0,AND(J89="New",K89="Builder"),F89*0.5)</f>
        <v>2480220.6</v>
      </c>
    </row>
    <row r="90" spans="1:15" x14ac:dyDescent="0.3">
      <c r="A90" s="8" t="s">
        <v>118</v>
      </c>
      <c r="B90" s="4" t="s">
        <v>16</v>
      </c>
      <c r="C90" s="4" t="s">
        <v>31</v>
      </c>
      <c r="D90" s="4">
        <v>3</v>
      </c>
      <c r="E90" s="4">
        <v>1933</v>
      </c>
      <c r="F90" s="4">
        <v>14134650</v>
      </c>
      <c r="G90" s="4">
        <v>3</v>
      </c>
      <c r="H90" s="4">
        <v>1</v>
      </c>
      <c r="I90" s="4" t="s">
        <v>18</v>
      </c>
      <c r="J90" s="4" t="s">
        <v>19</v>
      </c>
      <c r="K90" s="4" t="s">
        <v>20</v>
      </c>
      <c r="L90" s="9">
        <v>45791</v>
      </c>
      <c r="M90" s="9" t="str">
        <f>TEXT(Source_data[[#This Row],[Listing_Date]],"mmm-yy")</f>
        <v>May-25</v>
      </c>
      <c r="N90" s="4">
        <f t="shared" si="1"/>
        <v>7312.2866011381275</v>
      </c>
      <c r="O90" s="3" cm="1">
        <f t="array" ref="O90">_xlfn.IFS(AND(K90="Broker",J90="Resale"),F90*0.5,AND(K90="Owner",J90="Resale"),F90*0,AND(K90="Builder",J90="Resale"),F90*0.3,AND(J90="New",K90="Broker"),F90*0.1,AND(J90="New",K90="Owner"),F90*0,AND(J90="New",K90="Builder"),F90*0.5)</f>
        <v>1413465</v>
      </c>
    </row>
    <row r="91" spans="1:15" x14ac:dyDescent="0.3">
      <c r="A91" s="8" t="s">
        <v>119</v>
      </c>
      <c r="B91" s="4" t="s">
        <v>16</v>
      </c>
      <c r="C91" s="4" t="s">
        <v>29</v>
      </c>
      <c r="D91" s="4">
        <v>3</v>
      </c>
      <c r="E91" s="4">
        <v>1188</v>
      </c>
      <c r="F91" s="4">
        <v>7392103</v>
      </c>
      <c r="G91" s="4">
        <v>3</v>
      </c>
      <c r="H91" s="4">
        <v>2</v>
      </c>
      <c r="I91" s="4" t="s">
        <v>18</v>
      </c>
      <c r="J91" s="4" t="s">
        <v>23</v>
      </c>
      <c r="K91" s="4" t="s">
        <v>24</v>
      </c>
      <c r="L91" s="9">
        <v>45398</v>
      </c>
      <c r="M91" s="9" t="str">
        <f>TEXT(Source_data[[#This Row],[Listing_Date]],"mmm-yy")</f>
        <v>Apr-24</v>
      </c>
      <c r="N91" s="4">
        <f t="shared" si="1"/>
        <v>6222.3089225589229</v>
      </c>
      <c r="O91" s="3" cm="1">
        <f t="array" ref="O91">_xlfn.IFS(AND(K91="Broker",J91="Resale"),F91*0.5,AND(K91="Owner",J91="Resale"),F91*0,AND(K91="Builder",J91="Resale"),F91*0.3,AND(J91="New",K91="Broker"),F91*0.1,AND(J91="New",K91="Owner"),F91*0,AND(J91="New",K91="Builder"),F91*0.5)</f>
        <v>2217630.9</v>
      </c>
    </row>
    <row r="92" spans="1:15" x14ac:dyDescent="0.3">
      <c r="A92" s="8" t="s">
        <v>120</v>
      </c>
      <c r="B92" s="4" t="s">
        <v>16</v>
      </c>
      <c r="C92" s="4" t="s">
        <v>31</v>
      </c>
      <c r="D92" s="4">
        <v>1</v>
      </c>
      <c r="E92" s="4">
        <v>560</v>
      </c>
      <c r="F92" s="4">
        <v>3160847</v>
      </c>
      <c r="G92" s="4">
        <v>1</v>
      </c>
      <c r="H92" s="4">
        <v>1</v>
      </c>
      <c r="I92" s="4" t="s">
        <v>8</v>
      </c>
      <c r="J92" s="4" t="s">
        <v>19</v>
      </c>
      <c r="K92" s="4" t="s">
        <v>20</v>
      </c>
      <c r="L92" s="9">
        <v>45305</v>
      </c>
      <c r="M92" s="9" t="str">
        <f>TEXT(Source_data[[#This Row],[Listing_Date]],"mmm-yy")</f>
        <v>Jan-24</v>
      </c>
      <c r="N92" s="4">
        <f t="shared" si="1"/>
        <v>5644.3696428571429</v>
      </c>
      <c r="O92" s="3" cm="1">
        <f t="array" ref="O92">_xlfn.IFS(AND(K92="Broker",J92="Resale"),F92*0.5,AND(K92="Owner",J92="Resale"),F92*0,AND(K92="Builder",J92="Resale"),F92*0.3,AND(J92="New",K92="Broker"),F92*0.1,AND(J92="New",K92="Owner"),F92*0,AND(J92="New",K92="Builder"),F92*0.5)</f>
        <v>316084.7</v>
      </c>
    </row>
    <row r="93" spans="1:15" x14ac:dyDescent="0.3">
      <c r="A93" s="8" t="s">
        <v>121</v>
      </c>
      <c r="B93" s="4" t="s">
        <v>16</v>
      </c>
      <c r="C93" s="4" t="s">
        <v>22</v>
      </c>
      <c r="D93" s="4">
        <v>2</v>
      </c>
      <c r="E93" s="4">
        <v>867</v>
      </c>
      <c r="F93" s="4">
        <v>4414152</v>
      </c>
      <c r="G93" s="4">
        <v>2</v>
      </c>
      <c r="H93" s="4">
        <v>4</v>
      </c>
      <c r="I93" s="4" t="s">
        <v>27</v>
      </c>
      <c r="J93" s="4" t="s">
        <v>23</v>
      </c>
      <c r="K93" s="4" t="s">
        <v>36</v>
      </c>
      <c r="L93" s="9">
        <v>45659</v>
      </c>
      <c r="M93" s="9" t="str">
        <f>TEXT(Source_data[[#This Row],[Listing_Date]],"mmm-yy")</f>
        <v>Jan-25</v>
      </c>
      <c r="N93" s="4">
        <f t="shared" si="1"/>
        <v>5091.2941176470586</v>
      </c>
      <c r="O93" s="3" cm="1">
        <f t="array" ref="O93">_xlfn.IFS(AND(K93="Broker",J93="Resale"),F93*0.5,AND(K93="Owner",J93="Resale"),F93*0,AND(K93="Builder",J93="Resale"),F93*0.3,AND(J93="New",K93="Broker"),F93*0.1,AND(J93="New",K93="Owner"),F93*0,AND(J93="New",K93="Builder"),F93*0.5)</f>
        <v>0</v>
      </c>
    </row>
    <row r="94" spans="1:15" x14ac:dyDescent="0.3">
      <c r="A94" s="8" t="s">
        <v>122</v>
      </c>
      <c r="B94" s="4" t="s">
        <v>16</v>
      </c>
      <c r="C94" s="4" t="s">
        <v>53</v>
      </c>
      <c r="D94" s="4">
        <v>3</v>
      </c>
      <c r="E94" s="4">
        <v>1260</v>
      </c>
      <c r="F94" s="4">
        <v>8045222</v>
      </c>
      <c r="G94" s="4">
        <v>4</v>
      </c>
      <c r="H94" s="4">
        <v>0</v>
      </c>
      <c r="I94" s="4" t="s">
        <v>8</v>
      </c>
      <c r="J94" s="4" t="s">
        <v>19</v>
      </c>
      <c r="K94" s="4" t="s">
        <v>20</v>
      </c>
      <c r="L94" s="9">
        <v>45540</v>
      </c>
      <c r="M94" s="9" t="str">
        <f>TEXT(Source_data[[#This Row],[Listing_Date]],"mmm-yy")</f>
        <v>Sep-24</v>
      </c>
      <c r="N94" s="4">
        <f t="shared" si="1"/>
        <v>6385.0968253968258</v>
      </c>
      <c r="O94" s="3" cm="1">
        <f t="array" ref="O94">_xlfn.IFS(AND(K94="Broker",J94="Resale"),F94*0.5,AND(K94="Owner",J94="Resale"),F94*0,AND(K94="Builder",J94="Resale"),F94*0.3,AND(J94="New",K94="Broker"),F94*0.1,AND(J94="New",K94="Owner"),F94*0,AND(J94="New",K94="Builder"),F94*0.5)</f>
        <v>804522.20000000007</v>
      </c>
    </row>
    <row r="95" spans="1:15" x14ac:dyDescent="0.3">
      <c r="A95" s="8" t="s">
        <v>123</v>
      </c>
      <c r="B95" s="4" t="s">
        <v>16</v>
      </c>
      <c r="C95" s="4" t="s">
        <v>31</v>
      </c>
      <c r="D95" s="4">
        <v>3</v>
      </c>
      <c r="E95" s="4">
        <v>663</v>
      </c>
      <c r="F95" s="4">
        <v>4048251</v>
      </c>
      <c r="G95" s="4">
        <v>3</v>
      </c>
      <c r="H95" s="4">
        <v>2</v>
      </c>
      <c r="I95" s="4" t="s">
        <v>8</v>
      </c>
      <c r="J95" s="4" t="s">
        <v>19</v>
      </c>
      <c r="K95" s="4" t="s">
        <v>36</v>
      </c>
      <c r="L95" s="9">
        <v>45780</v>
      </c>
      <c r="M95" s="9" t="str">
        <f>TEXT(Source_data[[#This Row],[Listing_Date]],"mmm-yy")</f>
        <v>May-25</v>
      </c>
      <c r="N95" s="4">
        <f t="shared" si="1"/>
        <v>6105.9592760180994</v>
      </c>
      <c r="O95" s="3" cm="1">
        <f t="array" ref="O95">_xlfn.IFS(AND(K95="Broker",J95="Resale"),F95*0.5,AND(K95="Owner",J95="Resale"),F95*0,AND(K95="Builder",J95="Resale"),F95*0.3,AND(J95="New",K95="Broker"),F95*0.1,AND(J95="New",K95="Owner"),F95*0,AND(J95="New",K95="Builder"),F95*0.5)</f>
        <v>0</v>
      </c>
    </row>
    <row r="96" spans="1:15" x14ac:dyDescent="0.3">
      <c r="A96" s="8" t="s">
        <v>124</v>
      </c>
      <c r="B96" s="4" t="s">
        <v>16</v>
      </c>
      <c r="C96" s="4" t="s">
        <v>26</v>
      </c>
      <c r="D96" s="4">
        <v>3</v>
      </c>
      <c r="E96" s="4">
        <v>1537</v>
      </c>
      <c r="F96" s="4">
        <v>8475973</v>
      </c>
      <c r="G96" s="4">
        <v>3</v>
      </c>
      <c r="H96" s="4">
        <v>2</v>
      </c>
      <c r="I96" s="4" t="s">
        <v>27</v>
      </c>
      <c r="J96" s="4" t="s">
        <v>19</v>
      </c>
      <c r="K96" s="4" t="s">
        <v>24</v>
      </c>
      <c r="L96" s="9">
        <v>45256</v>
      </c>
      <c r="M96" s="9" t="str">
        <f>TEXT(Source_data[[#This Row],[Listing_Date]],"mmm-yy")</f>
        <v>Nov-23</v>
      </c>
      <c r="N96" s="4">
        <f t="shared" si="1"/>
        <v>5514.6213402732592</v>
      </c>
      <c r="O96" s="3" cm="1">
        <f t="array" ref="O96">_xlfn.IFS(AND(K96="Broker",J96="Resale"),F96*0.5,AND(K96="Owner",J96="Resale"),F96*0,AND(K96="Builder",J96="Resale"),F96*0.3,AND(J96="New",K96="Broker"),F96*0.1,AND(J96="New",K96="Owner"),F96*0,AND(J96="New",K96="Builder"),F96*0.5)</f>
        <v>4237986.5</v>
      </c>
    </row>
    <row r="97" spans="1:15" x14ac:dyDescent="0.3">
      <c r="A97" s="8" t="s">
        <v>125</v>
      </c>
      <c r="B97" s="4" t="s">
        <v>16</v>
      </c>
      <c r="C97" s="4" t="s">
        <v>29</v>
      </c>
      <c r="D97" s="4">
        <v>2</v>
      </c>
      <c r="E97" s="4">
        <v>1204</v>
      </c>
      <c r="F97" s="4">
        <v>3382026</v>
      </c>
      <c r="G97" s="4">
        <v>2</v>
      </c>
      <c r="H97" s="4">
        <v>2</v>
      </c>
      <c r="I97" s="4" t="s">
        <v>8</v>
      </c>
      <c r="J97" s="4" t="s">
        <v>23</v>
      </c>
      <c r="K97" s="4" t="s">
        <v>24</v>
      </c>
      <c r="L97" s="9">
        <v>45551</v>
      </c>
      <c r="M97" s="9" t="str">
        <f>TEXT(Source_data[[#This Row],[Listing_Date]],"mmm-yy")</f>
        <v>Sep-24</v>
      </c>
      <c r="N97" s="4">
        <f t="shared" si="1"/>
        <v>2808.9916943521594</v>
      </c>
      <c r="O97" s="3" cm="1">
        <f t="array" ref="O97">_xlfn.IFS(AND(K97="Broker",J97="Resale"),F97*0.5,AND(K97="Owner",J97="Resale"),F97*0,AND(K97="Builder",J97="Resale"),F97*0.3,AND(J97="New",K97="Broker"),F97*0.1,AND(J97="New",K97="Owner"),F97*0,AND(J97="New",K97="Builder"),F97*0.5)</f>
        <v>1014607.7999999999</v>
      </c>
    </row>
    <row r="98" spans="1:15" x14ac:dyDescent="0.3">
      <c r="A98" s="8" t="s">
        <v>126</v>
      </c>
      <c r="B98" s="4" t="s">
        <v>16</v>
      </c>
      <c r="C98" s="4" t="s">
        <v>31</v>
      </c>
      <c r="D98" s="4">
        <v>1</v>
      </c>
      <c r="E98" s="4">
        <v>535</v>
      </c>
      <c r="F98" s="4">
        <v>2910425</v>
      </c>
      <c r="G98" s="4">
        <v>1</v>
      </c>
      <c r="H98" s="4">
        <v>2</v>
      </c>
      <c r="I98" s="4" t="s">
        <v>27</v>
      </c>
      <c r="J98" s="4" t="s">
        <v>23</v>
      </c>
      <c r="K98" s="4" t="s">
        <v>24</v>
      </c>
      <c r="L98" s="9">
        <v>45384</v>
      </c>
      <c r="M98" s="9" t="str">
        <f>TEXT(Source_data[[#This Row],[Listing_Date]],"mmm-yy")</f>
        <v>Apr-24</v>
      </c>
      <c r="N98" s="4">
        <f t="shared" si="1"/>
        <v>5440.0467289719627</v>
      </c>
      <c r="O98" s="3" cm="1">
        <f t="array" ref="O98">_xlfn.IFS(AND(K98="Broker",J98="Resale"),F98*0.5,AND(K98="Owner",J98="Resale"),F98*0,AND(K98="Builder",J98="Resale"),F98*0.3,AND(J98="New",K98="Broker"),F98*0.1,AND(J98="New",K98="Owner"),F98*0,AND(J98="New",K98="Builder"),F98*0.5)</f>
        <v>873127.5</v>
      </c>
    </row>
    <row r="99" spans="1:15" x14ac:dyDescent="0.3">
      <c r="A99" s="8" t="s">
        <v>127</v>
      </c>
      <c r="B99" s="4" t="s">
        <v>16</v>
      </c>
      <c r="C99" s="4" t="s">
        <v>31</v>
      </c>
      <c r="D99" s="4">
        <v>1</v>
      </c>
      <c r="E99" s="4">
        <v>860</v>
      </c>
      <c r="F99" s="4">
        <v>4482155</v>
      </c>
      <c r="G99" s="4">
        <v>2</v>
      </c>
      <c r="H99" s="4">
        <v>2</v>
      </c>
      <c r="I99" s="4" t="s">
        <v>27</v>
      </c>
      <c r="J99" s="4" t="s">
        <v>19</v>
      </c>
      <c r="K99" s="4" t="s">
        <v>20</v>
      </c>
      <c r="L99" s="9">
        <v>45290</v>
      </c>
      <c r="M99" s="9" t="str">
        <f>TEXT(Source_data[[#This Row],[Listing_Date]],"mmm-yy")</f>
        <v>Dec-23</v>
      </c>
      <c r="N99" s="4">
        <f t="shared" si="1"/>
        <v>5211.8081395348836</v>
      </c>
      <c r="O99" s="3" cm="1">
        <f t="array" ref="O99">_xlfn.IFS(AND(K99="Broker",J99="Resale"),F99*0.5,AND(K99="Owner",J99="Resale"),F99*0,AND(K99="Builder",J99="Resale"),F99*0.3,AND(J99="New",K99="Broker"),F99*0.1,AND(J99="New",K99="Owner"),F99*0,AND(J99="New",K99="Builder"),F99*0.5)</f>
        <v>448215.5</v>
      </c>
    </row>
    <row r="100" spans="1:15" x14ac:dyDescent="0.3">
      <c r="A100" s="8" t="s">
        <v>128</v>
      </c>
      <c r="B100" s="4" t="s">
        <v>16</v>
      </c>
      <c r="C100" s="4" t="s">
        <v>35</v>
      </c>
      <c r="D100" s="4">
        <v>3</v>
      </c>
      <c r="E100" s="4">
        <v>1296</v>
      </c>
      <c r="F100" s="4">
        <v>6524342</v>
      </c>
      <c r="G100" s="4">
        <v>3</v>
      </c>
      <c r="H100" s="4">
        <v>2</v>
      </c>
      <c r="I100" s="4" t="s">
        <v>27</v>
      </c>
      <c r="J100" s="4" t="s">
        <v>23</v>
      </c>
      <c r="K100" s="4" t="s">
        <v>36</v>
      </c>
      <c r="L100" s="9">
        <v>45120</v>
      </c>
      <c r="M100" s="9" t="str">
        <f>TEXT(Source_data[[#This Row],[Listing_Date]],"mmm-yy")</f>
        <v>Jul-23</v>
      </c>
      <c r="N100" s="4">
        <f t="shared" si="1"/>
        <v>5034.2145061728397</v>
      </c>
      <c r="O100" s="3" cm="1">
        <f t="array" ref="O100">_xlfn.IFS(AND(K100="Broker",J100="Resale"),F100*0.5,AND(K100="Owner",J100="Resale"),F100*0,AND(K100="Builder",J100="Resale"),F100*0.3,AND(J100="New",K100="Broker"),F100*0.1,AND(J100="New",K100="Owner"),F100*0,AND(J100="New",K100="Builder"),F100*0.5)</f>
        <v>0</v>
      </c>
    </row>
    <row r="101" spans="1:15" x14ac:dyDescent="0.3">
      <c r="A101" s="8" t="s">
        <v>129</v>
      </c>
      <c r="B101" s="4" t="s">
        <v>16</v>
      </c>
      <c r="C101" s="4" t="s">
        <v>22</v>
      </c>
      <c r="D101" s="4">
        <v>3</v>
      </c>
      <c r="E101" s="4">
        <v>1166</v>
      </c>
      <c r="F101" s="4">
        <v>8058040</v>
      </c>
      <c r="G101" s="4">
        <v>3</v>
      </c>
      <c r="H101" s="4">
        <v>3</v>
      </c>
      <c r="I101" s="4" t="s">
        <v>27</v>
      </c>
      <c r="J101" s="4" t="s">
        <v>23</v>
      </c>
      <c r="K101" s="4" t="s">
        <v>20</v>
      </c>
      <c r="L101" s="9">
        <v>45711</v>
      </c>
      <c r="M101" s="9" t="str">
        <f>TEXT(Source_data[[#This Row],[Listing_Date]],"mmm-yy")</f>
        <v>Feb-25</v>
      </c>
      <c r="N101" s="4">
        <f t="shared" si="1"/>
        <v>6910.8404802744426</v>
      </c>
      <c r="O101" s="3" cm="1">
        <f t="array" ref="O101">_xlfn.IFS(AND(K101="Broker",J101="Resale"),F101*0.5,AND(K101="Owner",J101="Resale"),F101*0,AND(K101="Builder",J101="Resale"),F101*0.3,AND(J101="New",K101="Broker"),F101*0.1,AND(J101="New",K101="Owner"),F101*0,AND(J101="New",K101="Builder"),F101*0.5)</f>
        <v>4029020</v>
      </c>
    </row>
    <row r="102" spans="1:15" x14ac:dyDescent="0.3">
      <c r="A102" s="8" t="s">
        <v>130</v>
      </c>
      <c r="B102" s="4" t="s">
        <v>16</v>
      </c>
      <c r="C102" s="4" t="s">
        <v>26</v>
      </c>
      <c r="D102" s="4">
        <v>2</v>
      </c>
      <c r="E102" s="4">
        <v>1505</v>
      </c>
      <c r="F102" s="4">
        <v>9686659</v>
      </c>
      <c r="G102" s="4">
        <v>1</v>
      </c>
      <c r="H102" s="4">
        <v>4</v>
      </c>
      <c r="I102" s="4" t="s">
        <v>27</v>
      </c>
      <c r="J102" s="4" t="s">
        <v>19</v>
      </c>
      <c r="K102" s="4" t="s">
        <v>36</v>
      </c>
      <c r="L102" s="9">
        <v>45833</v>
      </c>
      <c r="M102" s="9" t="str">
        <f>TEXT(Source_data[[#This Row],[Listing_Date]],"mmm-yy")</f>
        <v>Jun-25</v>
      </c>
      <c r="N102" s="4">
        <f t="shared" si="1"/>
        <v>6436.3182724252492</v>
      </c>
      <c r="O102" s="3" cm="1">
        <f t="array" ref="O102">_xlfn.IFS(AND(K102="Broker",J102="Resale"),F102*0.5,AND(K102="Owner",J102="Resale"),F102*0,AND(K102="Builder",J102="Resale"),F102*0.3,AND(J102="New",K102="Broker"),F102*0.1,AND(J102="New",K102="Owner"),F102*0,AND(J102="New",K102="Builder"),F102*0.5)</f>
        <v>0</v>
      </c>
    </row>
    <row r="103" spans="1:15" x14ac:dyDescent="0.3">
      <c r="A103" s="8" t="s">
        <v>131</v>
      </c>
      <c r="B103" s="4" t="s">
        <v>16</v>
      </c>
      <c r="C103" s="4" t="s">
        <v>31</v>
      </c>
      <c r="D103" s="4">
        <v>2</v>
      </c>
      <c r="E103" s="4">
        <v>1183</v>
      </c>
      <c r="F103" s="4">
        <v>5095210</v>
      </c>
      <c r="G103" s="4">
        <v>2</v>
      </c>
      <c r="H103" s="4">
        <v>2</v>
      </c>
      <c r="I103" s="4" t="s">
        <v>27</v>
      </c>
      <c r="J103" s="4" t="s">
        <v>19</v>
      </c>
      <c r="K103" s="4" t="s">
        <v>36</v>
      </c>
      <c r="L103" s="9">
        <v>45432</v>
      </c>
      <c r="M103" s="9" t="str">
        <f>TEXT(Source_data[[#This Row],[Listing_Date]],"mmm-yy")</f>
        <v>May-24</v>
      </c>
      <c r="N103" s="4">
        <f t="shared" si="1"/>
        <v>4307.024513947591</v>
      </c>
      <c r="O103" s="3" cm="1">
        <f t="array" ref="O103">_xlfn.IFS(AND(K103="Broker",J103="Resale"),F103*0.5,AND(K103="Owner",J103="Resale"),F103*0,AND(K103="Builder",J103="Resale"),F103*0.3,AND(J103="New",K103="Broker"),F103*0.1,AND(J103="New",K103="Owner"),F103*0,AND(J103="New",K103="Builder"),F103*0.5)</f>
        <v>0</v>
      </c>
    </row>
    <row r="104" spans="1:15" x14ac:dyDescent="0.3">
      <c r="A104" s="8" t="s">
        <v>132</v>
      </c>
      <c r="B104" s="4" t="s">
        <v>16</v>
      </c>
      <c r="C104" s="4" t="s">
        <v>22</v>
      </c>
      <c r="D104" s="4">
        <v>3</v>
      </c>
      <c r="E104" s="4">
        <v>1331</v>
      </c>
      <c r="F104" s="4">
        <v>11473580</v>
      </c>
      <c r="G104" s="4">
        <v>3</v>
      </c>
      <c r="H104" s="4">
        <v>1</v>
      </c>
      <c r="I104" s="4" t="s">
        <v>27</v>
      </c>
      <c r="J104" s="4" t="s">
        <v>23</v>
      </c>
      <c r="K104" s="4" t="s">
        <v>24</v>
      </c>
      <c r="L104" s="9">
        <v>45027</v>
      </c>
      <c r="M104" s="9" t="str">
        <f>TEXT(Source_data[[#This Row],[Listing_Date]],"mmm-yy")</f>
        <v>Apr-23</v>
      </c>
      <c r="N104" s="4">
        <f t="shared" si="1"/>
        <v>8620.2704733283244</v>
      </c>
      <c r="O104" s="3" cm="1">
        <f t="array" ref="O104">_xlfn.IFS(AND(K104="Broker",J104="Resale"),F104*0.5,AND(K104="Owner",J104="Resale"),F104*0,AND(K104="Builder",J104="Resale"),F104*0.3,AND(J104="New",K104="Broker"),F104*0.1,AND(J104="New",K104="Owner"),F104*0,AND(J104="New",K104="Builder"),F104*0.5)</f>
        <v>3442074</v>
      </c>
    </row>
    <row r="105" spans="1:15" x14ac:dyDescent="0.3">
      <c r="A105" s="8" t="s">
        <v>133</v>
      </c>
      <c r="B105" s="4" t="s">
        <v>16</v>
      </c>
      <c r="C105" s="4" t="s">
        <v>53</v>
      </c>
      <c r="D105" s="4">
        <v>3</v>
      </c>
      <c r="E105" s="4">
        <v>1121</v>
      </c>
      <c r="F105" s="4">
        <v>7642486</v>
      </c>
      <c r="G105" s="4">
        <v>3</v>
      </c>
      <c r="H105" s="4">
        <v>2</v>
      </c>
      <c r="I105" s="4" t="s">
        <v>18</v>
      </c>
      <c r="J105" s="4" t="s">
        <v>23</v>
      </c>
      <c r="K105" s="4" t="s">
        <v>20</v>
      </c>
      <c r="L105" s="9">
        <v>45518</v>
      </c>
      <c r="M105" s="9" t="str">
        <f>TEXT(Source_data[[#This Row],[Listing_Date]],"mmm-yy")</f>
        <v>Aug-24</v>
      </c>
      <c r="N105" s="4">
        <f t="shared" si="1"/>
        <v>6817.5611061552181</v>
      </c>
      <c r="O105" s="3" cm="1">
        <f t="array" ref="O105">_xlfn.IFS(AND(K105="Broker",J105="Resale"),F105*0.5,AND(K105="Owner",J105="Resale"),F105*0,AND(K105="Builder",J105="Resale"),F105*0.3,AND(J105="New",K105="Broker"),F105*0.1,AND(J105="New",K105="Owner"),F105*0,AND(J105="New",K105="Builder"),F105*0.5)</f>
        <v>3821243</v>
      </c>
    </row>
    <row r="106" spans="1:15" x14ac:dyDescent="0.3">
      <c r="A106" s="8" t="s">
        <v>134</v>
      </c>
      <c r="B106" s="4" t="s">
        <v>16</v>
      </c>
      <c r="C106" s="4" t="s">
        <v>31</v>
      </c>
      <c r="D106" s="4">
        <v>2</v>
      </c>
      <c r="E106" s="4">
        <v>1076</v>
      </c>
      <c r="F106" s="4">
        <v>6648524</v>
      </c>
      <c r="G106" s="4">
        <v>2</v>
      </c>
      <c r="H106" s="4">
        <v>0</v>
      </c>
      <c r="I106" s="4" t="s">
        <v>27</v>
      </c>
      <c r="J106" s="4" t="s">
        <v>23</v>
      </c>
      <c r="K106" s="4" t="s">
        <v>20</v>
      </c>
      <c r="L106" s="9">
        <v>45438</v>
      </c>
      <c r="M106" s="9" t="str">
        <f>TEXT(Source_data[[#This Row],[Listing_Date]],"mmm-yy")</f>
        <v>May-24</v>
      </c>
      <c r="N106" s="4">
        <f t="shared" si="1"/>
        <v>6178.9256505576204</v>
      </c>
      <c r="O106" s="3" cm="1">
        <f t="array" ref="O106">_xlfn.IFS(AND(K106="Broker",J106="Resale"),F106*0.5,AND(K106="Owner",J106="Resale"),F106*0,AND(K106="Builder",J106="Resale"),F106*0.3,AND(J106="New",K106="Broker"),F106*0.1,AND(J106="New",K106="Owner"),F106*0,AND(J106="New",K106="Builder"),F106*0.5)</f>
        <v>3324262</v>
      </c>
    </row>
    <row r="107" spans="1:15" x14ac:dyDescent="0.3">
      <c r="A107" s="8" t="s">
        <v>135</v>
      </c>
      <c r="B107" s="4" t="s">
        <v>16</v>
      </c>
      <c r="C107" s="4" t="s">
        <v>53</v>
      </c>
      <c r="D107" s="4">
        <v>3</v>
      </c>
      <c r="E107" s="4">
        <v>1370</v>
      </c>
      <c r="F107" s="4">
        <v>10083089</v>
      </c>
      <c r="G107" s="4">
        <v>2</v>
      </c>
      <c r="H107" s="4">
        <v>2</v>
      </c>
      <c r="I107" s="4" t="s">
        <v>27</v>
      </c>
      <c r="J107" s="4" t="s">
        <v>19</v>
      </c>
      <c r="K107" s="4" t="s">
        <v>24</v>
      </c>
      <c r="L107" s="9">
        <v>45578</v>
      </c>
      <c r="M107" s="9" t="str">
        <f>TEXT(Source_data[[#This Row],[Listing_Date]],"mmm-yy")</f>
        <v>Oct-24</v>
      </c>
      <c r="N107" s="4">
        <f t="shared" si="1"/>
        <v>7359.9189781021896</v>
      </c>
      <c r="O107" s="3" cm="1">
        <f t="array" ref="O107">_xlfn.IFS(AND(K107="Broker",J107="Resale"),F107*0.5,AND(K107="Owner",J107="Resale"),F107*0,AND(K107="Builder",J107="Resale"),F107*0.3,AND(J107="New",K107="Broker"),F107*0.1,AND(J107="New",K107="Owner"),F107*0,AND(J107="New",K107="Builder"),F107*0.5)</f>
        <v>5041544.5</v>
      </c>
    </row>
    <row r="108" spans="1:15" x14ac:dyDescent="0.3">
      <c r="A108" s="8" t="s">
        <v>136</v>
      </c>
      <c r="B108" s="4" t="s">
        <v>16</v>
      </c>
      <c r="C108" s="4" t="s">
        <v>22</v>
      </c>
      <c r="D108" s="4">
        <v>3</v>
      </c>
      <c r="E108" s="4">
        <v>2148</v>
      </c>
      <c r="F108" s="4">
        <v>15835879</v>
      </c>
      <c r="G108" s="4">
        <v>4</v>
      </c>
      <c r="H108" s="4">
        <v>2</v>
      </c>
      <c r="I108" s="4" t="s">
        <v>67</v>
      </c>
      <c r="J108" s="4" t="s">
        <v>23</v>
      </c>
      <c r="K108" s="4" t="s">
        <v>36</v>
      </c>
      <c r="L108" s="9">
        <v>45832</v>
      </c>
      <c r="M108" s="9" t="str">
        <f>TEXT(Source_data[[#This Row],[Listing_Date]],"mmm-yy")</f>
        <v>Jun-25</v>
      </c>
      <c r="N108" s="4">
        <f t="shared" si="1"/>
        <v>7372.3831471135936</v>
      </c>
      <c r="O108" s="3" cm="1">
        <f t="array" ref="O108">_xlfn.IFS(AND(K108="Broker",J108="Resale"),F108*0.5,AND(K108="Owner",J108="Resale"),F108*0,AND(K108="Builder",J108="Resale"),F108*0.3,AND(J108="New",K108="Broker"),F108*0.1,AND(J108="New",K108="Owner"),F108*0,AND(J108="New",K108="Builder"),F108*0.5)</f>
        <v>0</v>
      </c>
    </row>
    <row r="109" spans="1:15" x14ac:dyDescent="0.3">
      <c r="A109" s="8" t="s">
        <v>137</v>
      </c>
      <c r="B109" s="4" t="s">
        <v>16</v>
      </c>
      <c r="C109" s="4" t="s">
        <v>29</v>
      </c>
      <c r="D109" s="4">
        <v>1</v>
      </c>
      <c r="E109" s="4">
        <v>783</v>
      </c>
      <c r="F109" s="4">
        <v>5106169</v>
      </c>
      <c r="G109" s="4">
        <v>1</v>
      </c>
      <c r="H109" s="4">
        <v>0</v>
      </c>
      <c r="I109" s="4" t="s">
        <v>27</v>
      </c>
      <c r="J109" s="4" t="s">
        <v>23</v>
      </c>
      <c r="K109" s="4" t="s">
        <v>36</v>
      </c>
      <c r="L109" s="9">
        <v>45766</v>
      </c>
      <c r="M109" s="9" t="str">
        <f>TEXT(Source_data[[#This Row],[Listing_Date]],"mmm-yy")</f>
        <v>Apr-25</v>
      </c>
      <c r="N109" s="4">
        <f t="shared" si="1"/>
        <v>6521.2886334610475</v>
      </c>
      <c r="O109" s="3" cm="1">
        <f t="array" ref="O109">_xlfn.IFS(AND(K109="Broker",J109="Resale"),F109*0.5,AND(K109="Owner",J109="Resale"),F109*0,AND(K109="Builder",J109="Resale"),F109*0.3,AND(J109="New",K109="Broker"),F109*0.1,AND(J109="New",K109="Owner"),F109*0,AND(J109="New",K109="Builder"),F109*0.5)</f>
        <v>0</v>
      </c>
    </row>
    <row r="110" spans="1:15" x14ac:dyDescent="0.3">
      <c r="A110" s="8" t="s">
        <v>138</v>
      </c>
      <c r="B110" s="4" t="s">
        <v>16</v>
      </c>
      <c r="C110" s="4" t="s">
        <v>31</v>
      </c>
      <c r="D110" s="4">
        <v>2</v>
      </c>
      <c r="E110" s="4">
        <v>1267</v>
      </c>
      <c r="F110" s="4">
        <v>7910416</v>
      </c>
      <c r="G110" s="4">
        <v>3</v>
      </c>
      <c r="H110" s="4">
        <v>0</v>
      </c>
      <c r="I110" s="4" t="s">
        <v>27</v>
      </c>
      <c r="J110" s="4" t="s">
        <v>23</v>
      </c>
      <c r="K110" s="4" t="s">
        <v>36</v>
      </c>
      <c r="L110" s="9">
        <v>45453</v>
      </c>
      <c r="M110" s="9" t="str">
        <f>TEXT(Source_data[[#This Row],[Listing_Date]],"mmm-yy")</f>
        <v>Jun-24</v>
      </c>
      <c r="N110" s="4">
        <f t="shared" si="1"/>
        <v>6243.42225730071</v>
      </c>
      <c r="O110" s="3" cm="1">
        <f t="array" ref="O110">_xlfn.IFS(AND(K110="Broker",J110="Resale"),F110*0.5,AND(K110="Owner",J110="Resale"),F110*0,AND(K110="Builder",J110="Resale"),F110*0.3,AND(J110="New",K110="Broker"),F110*0.1,AND(J110="New",K110="Owner"),F110*0,AND(J110="New",K110="Builder"),F110*0.5)</f>
        <v>0</v>
      </c>
    </row>
    <row r="111" spans="1:15" x14ac:dyDescent="0.3">
      <c r="A111" s="8" t="s">
        <v>139</v>
      </c>
      <c r="B111" s="4" t="s">
        <v>16</v>
      </c>
      <c r="C111" s="4" t="s">
        <v>29</v>
      </c>
      <c r="D111" s="4">
        <v>4</v>
      </c>
      <c r="E111" s="4">
        <v>2299</v>
      </c>
      <c r="F111" s="4">
        <v>13643698</v>
      </c>
      <c r="G111" s="4">
        <v>4</v>
      </c>
      <c r="H111" s="4">
        <v>1</v>
      </c>
      <c r="I111" s="4" t="s">
        <v>27</v>
      </c>
      <c r="J111" s="4" t="s">
        <v>19</v>
      </c>
      <c r="K111" s="4" t="s">
        <v>24</v>
      </c>
      <c r="L111" s="9">
        <v>45110</v>
      </c>
      <c r="M111" s="9" t="str">
        <f>TEXT(Source_data[[#This Row],[Listing_Date]],"mmm-yy")</f>
        <v>Jul-23</v>
      </c>
      <c r="N111" s="4">
        <f t="shared" si="1"/>
        <v>5934.6228795128318</v>
      </c>
      <c r="O111" s="3" cm="1">
        <f t="array" ref="O111">_xlfn.IFS(AND(K111="Broker",J111="Resale"),F111*0.5,AND(K111="Owner",J111="Resale"),F111*0,AND(K111="Builder",J111="Resale"),F111*0.3,AND(J111="New",K111="Broker"),F111*0.1,AND(J111="New",K111="Owner"),F111*0,AND(J111="New",K111="Builder"),F111*0.5)</f>
        <v>6821849</v>
      </c>
    </row>
    <row r="112" spans="1:15" x14ac:dyDescent="0.3">
      <c r="A112" s="8" t="s">
        <v>140</v>
      </c>
      <c r="B112" s="4" t="s">
        <v>16</v>
      </c>
      <c r="C112" s="4" t="s">
        <v>35</v>
      </c>
      <c r="D112" s="4">
        <v>3</v>
      </c>
      <c r="E112" s="4">
        <v>1000</v>
      </c>
      <c r="F112" s="4">
        <v>5509228</v>
      </c>
      <c r="G112" s="4">
        <v>3</v>
      </c>
      <c r="H112" s="4">
        <v>1</v>
      </c>
      <c r="I112" s="4" t="s">
        <v>27</v>
      </c>
      <c r="J112" s="4" t="s">
        <v>19</v>
      </c>
      <c r="K112" s="4" t="s">
        <v>36</v>
      </c>
      <c r="L112" s="9">
        <v>45387</v>
      </c>
      <c r="M112" s="9" t="str">
        <f>TEXT(Source_data[[#This Row],[Listing_Date]],"mmm-yy")</f>
        <v>Apr-24</v>
      </c>
      <c r="N112" s="4">
        <f t="shared" si="1"/>
        <v>5509.2280000000001</v>
      </c>
      <c r="O112" s="3" cm="1">
        <f t="array" ref="O112">_xlfn.IFS(AND(K112="Broker",J112="Resale"),F112*0.5,AND(K112="Owner",J112="Resale"),F112*0,AND(K112="Builder",J112="Resale"),F112*0.3,AND(J112="New",K112="Broker"),F112*0.1,AND(J112="New",K112="Owner"),F112*0,AND(J112="New",K112="Builder"),F112*0.5)</f>
        <v>0</v>
      </c>
    </row>
    <row r="113" spans="1:15" x14ac:dyDescent="0.3">
      <c r="A113" s="8" t="s">
        <v>141</v>
      </c>
      <c r="B113" s="4" t="s">
        <v>16</v>
      </c>
      <c r="C113" s="4" t="s">
        <v>31</v>
      </c>
      <c r="D113" s="4">
        <v>2</v>
      </c>
      <c r="E113" s="4">
        <v>1076</v>
      </c>
      <c r="F113" s="4">
        <v>6648524</v>
      </c>
      <c r="G113" s="4">
        <v>2</v>
      </c>
      <c r="H113" s="4">
        <v>0</v>
      </c>
      <c r="I113" s="4" t="s">
        <v>27</v>
      </c>
      <c r="J113" s="4" t="s">
        <v>23</v>
      </c>
      <c r="K113" s="4" t="s">
        <v>20</v>
      </c>
      <c r="L113" s="9">
        <v>45438</v>
      </c>
      <c r="M113" s="9" t="str">
        <f>TEXT(Source_data[[#This Row],[Listing_Date]],"mmm-yy")</f>
        <v>May-24</v>
      </c>
      <c r="N113" s="4">
        <f t="shared" si="1"/>
        <v>6178.9256505576204</v>
      </c>
      <c r="O113" s="3" cm="1">
        <f t="array" ref="O113">_xlfn.IFS(AND(K113="Broker",J113="Resale"),F113*0.5,AND(K113="Owner",J113="Resale"),F113*0,AND(K113="Builder",J113="Resale"),F113*0.3,AND(J113="New",K113="Broker"),F113*0.1,AND(J113="New",K113="Owner"),F113*0,AND(J113="New",K113="Builder"),F113*0.5)</f>
        <v>3324262</v>
      </c>
    </row>
    <row r="114" spans="1:15" x14ac:dyDescent="0.3">
      <c r="A114" s="8" t="s">
        <v>142</v>
      </c>
      <c r="B114" s="4" t="s">
        <v>16</v>
      </c>
      <c r="C114" s="4" t="s">
        <v>53</v>
      </c>
      <c r="D114" s="4">
        <v>4</v>
      </c>
      <c r="E114" s="4">
        <v>1776</v>
      </c>
      <c r="F114" s="4">
        <v>10326562</v>
      </c>
      <c r="G114" s="4">
        <v>2</v>
      </c>
      <c r="H114" s="4">
        <v>2</v>
      </c>
      <c r="I114" s="4" t="s">
        <v>8</v>
      </c>
      <c r="J114" s="4" t="s">
        <v>23</v>
      </c>
      <c r="K114" s="4" t="s">
        <v>24</v>
      </c>
      <c r="L114" s="9">
        <v>45891</v>
      </c>
      <c r="M114" s="9" t="str">
        <f>TEXT(Source_data[[#This Row],[Listing_Date]],"mmm-yy")</f>
        <v>Aug-25</v>
      </c>
      <c r="N114" s="4">
        <f t="shared" si="1"/>
        <v>5814.5056306306305</v>
      </c>
      <c r="O114" s="3" cm="1">
        <f t="array" ref="O114">_xlfn.IFS(AND(K114="Broker",J114="Resale"),F114*0.5,AND(K114="Owner",J114="Resale"),F114*0,AND(K114="Builder",J114="Resale"),F114*0.3,AND(J114="New",K114="Broker"),F114*0.1,AND(J114="New",K114="Owner"),F114*0,AND(J114="New",K114="Builder"),F114*0.5)</f>
        <v>3097968.6</v>
      </c>
    </row>
    <row r="115" spans="1:15" x14ac:dyDescent="0.3">
      <c r="A115" s="8" t="s">
        <v>143</v>
      </c>
      <c r="B115" s="4" t="s">
        <v>16</v>
      </c>
      <c r="C115" s="4" t="s">
        <v>35</v>
      </c>
      <c r="D115" s="4">
        <v>2</v>
      </c>
      <c r="E115" s="4">
        <v>1199</v>
      </c>
      <c r="F115" s="4">
        <v>8532053</v>
      </c>
      <c r="G115" s="4">
        <v>2</v>
      </c>
      <c r="H115" s="4">
        <v>4</v>
      </c>
      <c r="I115" s="4" t="s">
        <v>18</v>
      </c>
      <c r="J115" s="4" t="s">
        <v>23</v>
      </c>
      <c r="K115" s="4" t="s">
        <v>24</v>
      </c>
      <c r="L115" s="9">
        <v>45282</v>
      </c>
      <c r="M115" s="9" t="str">
        <f>TEXT(Source_data[[#This Row],[Listing_Date]],"mmm-yy")</f>
        <v>Dec-23</v>
      </c>
      <c r="N115" s="4">
        <f t="shared" si="1"/>
        <v>7115.9741451209338</v>
      </c>
      <c r="O115" s="3" cm="1">
        <f t="array" ref="O115">_xlfn.IFS(AND(K115="Broker",J115="Resale"),F115*0.5,AND(K115="Owner",J115="Resale"),F115*0,AND(K115="Builder",J115="Resale"),F115*0.3,AND(J115="New",K115="Broker"),F115*0.1,AND(J115="New",K115="Owner"),F115*0,AND(J115="New",K115="Builder"),F115*0.5)</f>
        <v>2559615.9</v>
      </c>
    </row>
    <row r="116" spans="1:15" x14ac:dyDescent="0.3">
      <c r="A116" s="8" t="s">
        <v>144</v>
      </c>
      <c r="B116" s="4" t="s">
        <v>16</v>
      </c>
      <c r="C116" s="4" t="s">
        <v>26</v>
      </c>
      <c r="D116" s="4">
        <v>3</v>
      </c>
      <c r="E116" s="4">
        <v>1924</v>
      </c>
      <c r="F116" s="4">
        <v>10521899</v>
      </c>
      <c r="G116" s="4">
        <v>3</v>
      </c>
      <c r="H116" s="4">
        <v>3</v>
      </c>
      <c r="I116" s="4" t="s">
        <v>8</v>
      </c>
      <c r="J116" s="4" t="s">
        <v>19</v>
      </c>
      <c r="K116" s="4" t="s">
        <v>20</v>
      </c>
      <c r="L116" s="9">
        <v>45495</v>
      </c>
      <c r="M116" s="9" t="str">
        <f>TEXT(Source_data[[#This Row],[Listing_Date]],"mmm-yy")</f>
        <v>Jul-24</v>
      </c>
      <c r="N116" s="4">
        <f t="shared" si="1"/>
        <v>5468.7624740124738</v>
      </c>
      <c r="O116" s="3" cm="1">
        <f t="array" ref="O116">_xlfn.IFS(AND(K116="Broker",J116="Resale"),F116*0.5,AND(K116="Owner",J116="Resale"),F116*0,AND(K116="Builder",J116="Resale"),F116*0.3,AND(J116="New",K116="Broker"),F116*0.1,AND(J116="New",K116="Owner"),F116*0,AND(J116="New",K116="Builder"),F116*0.5)</f>
        <v>1052189.9000000001</v>
      </c>
    </row>
    <row r="117" spans="1:15" x14ac:dyDescent="0.3">
      <c r="A117" s="8" t="s">
        <v>145</v>
      </c>
      <c r="B117" s="4" t="s">
        <v>16</v>
      </c>
      <c r="C117" s="4" t="s">
        <v>53</v>
      </c>
      <c r="D117" s="4">
        <v>2</v>
      </c>
      <c r="E117" s="4">
        <v>782</v>
      </c>
      <c r="F117" s="4">
        <v>4728355</v>
      </c>
      <c r="G117" s="4">
        <v>2</v>
      </c>
      <c r="H117" s="4">
        <v>1</v>
      </c>
      <c r="I117" s="4" t="s">
        <v>8</v>
      </c>
      <c r="J117" s="4" t="s">
        <v>19</v>
      </c>
      <c r="K117" s="4" t="s">
        <v>20</v>
      </c>
      <c r="L117" s="9">
        <v>45879</v>
      </c>
      <c r="M117" s="9" t="str">
        <f>TEXT(Source_data[[#This Row],[Listing_Date]],"mmm-yy")</f>
        <v>Aug-25</v>
      </c>
      <c r="N117" s="4">
        <f t="shared" si="1"/>
        <v>6046.4897698209716</v>
      </c>
      <c r="O117" s="3" cm="1">
        <f t="array" ref="O117">_xlfn.IFS(AND(K117="Broker",J117="Resale"),F117*0.5,AND(K117="Owner",J117="Resale"),F117*0,AND(K117="Builder",J117="Resale"),F117*0.3,AND(J117="New",K117="Broker"),F117*0.1,AND(J117="New",K117="Owner"),F117*0,AND(J117="New",K117="Builder"),F117*0.5)</f>
        <v>472835.5</v>
      </c>
    </row>
    <row r="118" spans="1:15" x14ac:dyDescent="0.3">
      <c r="A118" s="8" t="s">
        <v>146</v>
      </c>
      <c r="B118" s="4" t="s">
        <v>16</v>
      </c>
      <c r="C118" s="4" t="s">
        <v>29</v>
      </c>
      <c r="D118" s="4">
        <v>2</v>
      </c>
      <c r="E118" s="4">
        <v>575</v>
      </c>
      <c r="F118" s="4">
        <v>3214818</v>
      </c>
      <c r="G118" s="4">
        <v>2</v>
      </c>
      <c r="H118" s="4">
        <v>1</v>
      </c>
      <c r="I118" s="4" t="s">
        <v>8</v>
      </c>
      <c r="J118" s="4" t="s">
        <v>19</v>
      </c>
      <c r="K118" s="4" t="s">
        <v>24</v>
      </c>
      <c r="L118" s="9">
        <v>45229</v>
      </c>
      <c r="M118" s="9" t="str">
        <f>TEXT(Source_data[[#This Row],[Listing_Date]],"mmm-yy")</f>
        <v>Oct-23</v>
      </c>
      <c r="N118" s="4">
        <f t="shared" si="1"/>
        <v>5590.9878260869564</v>
      </c>
      <c r="O118" s="3" cm="1">
        <f t="array" ref="O118">_xlfn.IFS(AND(K118="Broker",J118="Resale"),F118*0.5,AND(K118="Owner",J118="Resale"),F118*0,AND(K118="Builder",J118="Resale"),F118*0.3,AND(J118="New",K118="Broker"),F118*0.1,AND(J118="New",K118="Owner"),F118*0,AND(J118="New",K118="Builder"),F118*0.5)</f>
        <v>1607409</v>
      </c>
    </row>
    <row r="119" spans="1:15" x14ac:dyDescent="0.3">
      <c r="A119" s="8" t="s">
        <v>147</v>
      </c>
      <c r="B119" s="4" t="s">
        <v>16</v>
      </c>
      <c r="C119" s="4" t="s">
        <v>22</v>
      </c>
      <c r="D119" s="4">
        <v>2</v>
      </c>
      <c r="E119" s="4">
        <v>1156</v>
      </c>
      <c r="F119" s="4">
        <v>7299498</v>
      </c>
      <c r="G119" s="4">
        <v>2</v>
      </c>
      <c r="H119" s="4">
        <v>2</v>
      </c>
      <c r="I119" s="4" t="s">
        <v>27</v>
      </c>
      <c r="J119" s="4" t="s">
        <v>19</v>
      </c>
      <c r="K119" s="4" t="s">
        <v>36</v>
      </c>
      <c r="L119" s="9">
        <v>45289</v>
      </c>
      <c r="M119" s="9" t="str">
        <f>TEXT(Source_data[[#This Row],[Listing_Date]],"mmm-yy")</f>
        <v>Dec-23</v>
      </c>
      <c r="N119" s="4">
        <f t="shared" si="1"/>
        <v>6314.4446366782004</v>
      </c>
      <c r="O119" s="3" cm="1">
        <f t="array" ref="O119">_xlfn.IFS(AND(K119="Broker",J119="Resale"),F119*0.5,AND(K119="Owner",J119="Resale"),F119*0,AND(K119="Builder",J119="Resale"),F119*0.3,AND(J119="New",K119="Broker"),F119*0.1,AND(J119="New",K119="Owner"),F119*0,AND(J119="New",K119="Builder"),F119*0.5)</f>
        <v>0</v>
      </c>
    </row>
    <row r="120" spans="1:15" x14ac:dyDescent="0.3">
      <c r="A120" s="8" t="s">
        <v>148</v>
      </c>
      <c r="B120" s="4" t="s">
        <v>16</v>
      </c>
      <c r="C120" s="4" t="s">
        <v>22</v>
      </c>
      <c r="D120" s="4">
        <v>2</v>
      </c>
      <c r="E120" s="4">
        <v>1177</v>
      </c>
      <c r="F120" s="4">
        <v>7990008</v>
      </c>
      <c r="G120" s="4">
        <v>2</v>
      </c>
      <c r="H120" s="4">
        <v>2</v>
      </c>
      <c r="I120" s="4" t="s">
        <v>18</v>
      </c>
      <c r="J120" s="4" t="s">
        <v>19</v>
      </c>
      <c r="K120" s="4" t="s">
        <v>36</v>
      </c>
      <c r="L120" s="9">
        <v>45081</v>
      </c>
      <c r="M120" s="9" t="str">
        <f>TEXT(Source_data[[#This Row],[Listing_Date]],"mmm-yy")</f>
        <v>Jun-23</v>
      </c>
      <c r="N120" s="4">
        <f t="shared" si="1"/>
        <v>6788.4519966015296</v>
      </c>
      <c r="O120" s="3" cm="1">
        <f t="array" ref="O120">_xlfn.IFS(AND(K120="Broker",J120="Resale"),F120*0.5,AND(K120="Owner",J120="Resale"),F120*0,AND(K120="Builder",J120="Resale"),F120*0.3,AND(J120="New",K120="Broker"),F120*0.1,AND(J120="New",K120="Owner"),F120*0,AND(J120="New",K120="Builder"),F120*0.5)</f>
        <v>0</v>
      </c>
    </row>
    <row r="121" spans="1:15" x14ac:dyDescent="0.3">
      <c r="A121" s="8" t="s">
        <v>149</v>
      </c>
      <c r="B121" s="4" t="s">
        <v>16</v>
      </c>
      <c r="C121" s="4" t="s">
        <v>35</v>
      </c>
      <c r="D121" s="4">
        <v>2</v>
      </c>
      <c r="E121" s="4">
        <v>1027</v>
      </c>
      <c r="F121" s="4">
        <v>5885813</v>
      </c>
      <c r="G121" s="4">
        <v>2</v>
      </c>
      <c r="H121" s="4">
        <v>0</v>
      </c>
      <c r="I121" s="4" t="s">
        <v>18</v>
      </c>
      <c r="J121" s="4" t="s">
        <v>23</v>
      </c>
      <c r="K121" s="4" t="s">
        <v>24</v>
      </c>
      <c r="L121" s="9">
        <v>45563</v>
      </c>
      <c r="M121" s="9" t="str">
        <f>TEXT(Source_data[[#This Row],[Listing_Date]],"mmm-yy")</f>
        <v>Sep-24</v>
      </c>
      <c r="N121" s="4">
        <f t="shared" si="1"/>
        <v>5731.0740019474197</v>
      </c>
      <c r="O121" s="3" cm="1">
        <f t="array" ref="O121">_xlfn.IFS(AND(K121="Broker",J121="Resale"),F121*0.5,AND(K121="Owner",J121="Resale"),F121*0,AND(K121="Builder",J121="Resale"),F121*0.3,AND(J121="New",K121="Broker"),F121*0.1,AND(J121="New",K121="Owner"),F121*0,AND(J121="New",K121="Builder"),F121*0.5)</f>
        <v>1765743.9</v>
      </c>
    </row>
    <row r="122" spans="1:15" x14ac:dyDescent="0.3">
      <c r="A122" s="8" t="s">
        <v>150</v>
      </c>
      <c r="B122" s="4" t="s">
        <v>16</v>
      </c>
      <c r="C122" s="4" t="s">
        <v>22</v>
      </c>
      <c r="D122" s="4">
        <v>2</v>
      </c>
      <c r="E122" s="4">
        <v>973</v>
      </c>
      <c r="F122" s="4">
        <v>4979936</v>
      </c>
      <c r="G122" s="4">
        <v>2</v>
      </c>
      <c r="H122" s="4">
        <v>3</v>
      </c>
      <c r="I122" s="4" t="s">
        <v>18</v>
      </c>
      <c r="J122" s="4" t="s">
        <v>19</v>
      </c>
      <c r="K122" s="4" t="s">
        <v>36</v>
      </c>
      <c r="L122" s="9">
        <v>44982</v>
      </c>
      <c r="M122" s="9" t="str">
        <f>TEXT(Source_data[[#This Row],[Listing_Date]],"mmm-yy")</f>
        <v>Feb-23</v>
      </c>
      <c r="N122" s="4">
        <f t="shared" si="1"/>
        <v>5118.1253854059605</v>
      </c>
      <c r="O122" s="3" cm="1">
        <f t="array" ref="O122">_xlfn.IFS(AND(K122="Broker",J122="Resale"),F122*0.5,AND(K122="Owner",J122="Resale"),F122*0,AND(K122="Builder",J122="Resale"),F122*0.3,AND(J122="New",K122="Broker"),F122*0.1,AND(J122="New",K122="Owner"),F122*0,AND(J122="New",K122="Builder"),F122*0.5)</f>
        <v>0</v>
      </c>
    </row>
    <row r="123" spans="1:15" x14ac:dyDescent="0.3">
      <c r="A123" s="8" t="s">
        <v>151</v>
      </c>
      <c r="B123" s="4" t="s">
        <v>16</v>
      </c>
      <c r="C123" s="4" t="s">
        <v>53</v>
      </c>
      <c r="D123" s="4">
        <v>4</v>
      </c>
      <c r="E123" s="4">
        <v>1949</v>
      </c>
      <c r="F123" s="4">
        <v>11599475</v>
      </c>
      <c r="G123" s="4">
        <v>3</v>
      </c>
      <c r="H123" s="4">
        <v>3</v>
      </c>
      <c r="I123" s="4" t="s">
        <v>18</v>
      </c>
      <c r="J123" s="4" t="s">
        <v>19</v>
      </c>
      <c r="K123" s="4" t="s">
        <v>24</v>
      </c>
      <c r="L123" s="9">
        <v>45858</v>
      </c>
      <c r="M123" s="9" t="str">
        <f>TEXT(Source_data[[#This Row],[Listing_Date]],"mmm-yy")</f>
        <v>Jul-25</v>
      </c>
      <c r="N123" s="4">
        <f t="shared" si="1"/>
        <v>5951.5007696254488</v>
      </c>
      <c r="O123" s="3" cm="1">
        <f t="array" ref="O123">_xlfn.IFS(AND(K123="Broker",J123="Resale"),F123*0.5,AND(K123="Owner",J123="Resale"),F123*0,AND(K123="Builder",J123="Resale"),F123*0.3,AND(J123="New",K123="Broker"),F123*0.1,AND(J123="New",K123="Owner"),F123*0,AND(J123="New",K123="Builder"),F123*0.5)</f>
        <v>5799737.5</v>
      </c>
    </row>
    <row r="124" spans="1:15" x14ac:dyDescent="0.3">
      <c r="A124" s="8" t="s">
        <v>152</v>
      </c>
      <c r="B124" s="4" t="s">
        <v>16</v>
      </c>
      <c r="C124" s="4" t="s">
        <v>35</v>
      </c>
      <c r="D124" s="4">
        <v>2</v>
      </c>
      <c r="E124" s="4">
        <v>1204</v>
      </c>
      <c r="F124" s="4">
        <v>12066956</v>
      </c>
      <c r="G124" s="4">
        <v>2</v>
      </c>
      <c r="H124" s="4">
        <v>2</v>
      </c>
      <c r="I124" s="4" t="s">
        <v>8</v>
      </c>
      <c r="J124" s="4" t="s">
        <v>19</v>
      </c>
      <c r="K124" s="4" t="s">
        <v>24</v>
      </c>
      <c r="L124" s="9">
        <v>45054</v>
      </c>
      <c r="M124" s="9" t="str">
        <f>TEXT(Source_data[[#This Row],[Listing_Date]],"mmm-yy")</f>
        <v>May-23</v>
      </c>
      <c r="N124" s="4">
        <f t="shared" si="1"/>
        <v>10022.388704318937</v>
      </c>
      <c r="O124" s="3" cm="1">
        <f t="array" ref="O124">_xlfn.IFS(AND(K124="Broker",J124="Resale"),F124*0.5,AND(K124="Owner",J124="Resale"),F124*0,AND(K124="Builder",J124="Resale"),F124*0.3,AND(J124="New",K124="Broker"),F124*0.1,AND(J124="New",K124="Owner"),F124*0,AND(J124="New",K124="Builder"),F124*0.5)</f>
        <v>6033478</v>
      </c>
    </row>
    <row r="125" spans="1:15" x14ac:dyDescent="0.3">
      <c r="A125" s="8" t="s">
        <v>153</v>
      </c>
      <c r="B125" s="4" t="s">
        <v>16</v>
      </c>
      <c r="C125" s="4" t="s">
        <v>31</v>
      </c>
      <c r="D125" s="4">
        <v>2</v>
      </c>
      <c r="E125" s="4">
        <v>1070</v>
      </c>
      <c r="F125" s="4">
        <v>9619180</v>
      </c>
      <c r="G125" s="4">
        <v>2</v>
      </c>
      <c r="H125" s="4">
        <v>2</v>
      </c>
      <c r="I125" s="4" t="s">
        <v>27</v>
      </c>
      <c r="J125" s="4" t="s">
        <v>19</v>
      </c>
      <c r="K125" s="4" t="s">
        <v>36</v>
      </c>
      <c r="L125" s="9">
        <v>44995</v>
      </c>
      <c r="M125" s="9" t="str">
        <f>TEXT(Source_data[[#This Row],[Listing_Date]],"mmm-yy")</f>
        <v>Mar-23</v>
      </c>
      <c r="N125" s="4">
        <f t="shared" si="1"/>
        <v>8989.8878504672903</v>
      </c>
      <c r="O125" s="3" cm="1">
        <f t="array" ref="O125">_xlfn.IFS(AND(K125="Broker",J125="Resale"),F125*0.5,AND(K125="Owner",J125="Resale"),F125*0,AND(K125="Builder",J125="Resale"),F125*0.3,AND(J125="New",K125="Broker"),F125*0.1,AND(J125="New",K125="Owner"),F125*0,AND(J125="New",K125="Builder"),F125*0.5)</f>
        <v>0</v>
      </c>
    </row>
    <row r="126" spans="1:15" x14ac:dyDescent="0.3">
      <c r="A126" s="8" t="s">
        <v>154</v>
      </c>
      <c r="B126" s="4" t="s">
        <v>16</v>
      </c>
      <c r="C126" s="4" t="s">
        <v>31</v>
      </c>
      <c r="D126" s="4">
        <v>4</v>
      </c>
      <c r="E126" s="4">
        <v>2314</v>
      </c>
      <c r="F126" s="4">
        <v>13167552</v>
      </c>
      <c r="G126" s="4">
        <v>3</v>
      </c>
      <c r="H126" s="4">
        <v>0</v>
      </c>
      <c r="I126" s="4" t="s">
        <v>8</v>
      </c>
      <c r="J126" s="4" t="s">
        <v>23</v>
      </c>
      <c r="K126" s="4" t="s">
        <v>20</v>
      </c>
      <c r="L126" s="9">
        <v>45103</v>
      </c>
      <c r="M126" s="9" t="str">
        <f>TEXT(Source_data[[#This Row],[Listing_Date]],"mmm-yy")</f>
        <v>Jun-23</v>
      </c>
      <c r="N126" s="4">
        <f t="shared" si="1"/>
        <v>5690.3854796888509</v>
      </c>
      <c r="O126" s="3" cm="1">
        <f t="array" ref="O126">_xlfn.IFS(AND(K126="Broker",J126="Resale"),F126*0.5,AND(K126="Owner",J126="Resale"),F126*0,AND(K126="Builder",J126="Resale"),F126*0.3,AND(J126="New",K126="Broker"),F126*0.1,AND(J126="New",K126="Owner"),F126*0,AND(J126="New",K126="Builder"),F126*0.5)</f>
        <v>6583776</v>
      </c>
    </row>
    <row r="127" spans="1:15" x14ac:dyDescent="0.3">
      <c r="A127" s="8" t="s">
        <v>155</v>
      </c>
      <c r="B127" s="4" t="s">
        <v>16</v>
      </c>
      <c r="C127" s="4" t="s">
        <v>29</v>
      </c>
      <c r="D127" s="4">
        <v>5</v>
      </c>
      <c r="E127" s="4">
        <v>2650</v>
      </c>
      <c r="F127" s="4">
        <v>15783372</v>
      </c>
      <c r="G127" s="4">
        <v>3</v>
      </c>
      <c r="H127" s="4">
        <v>2</v>
      </c>
      <c r="I127" s="4" t="s">
        <v>8</v>
      </c>
      <c r="J127" s="4" t="s">
        <v>23</v>
      </c>
      <c r="K127" s="4" t="s">
        <v>36</v>
      </c>
      <c r="L127" s="9">
        <v>45683</v>
      </c>
      <c r="M127" s="9" t="str">
        <f>TEXT(Source_data[[#This Row],[Listing_Date]],"mmm-yy")</f>
        <v>Jan-25</v>
      </c>
      <c r="N127" s="4">
        <f t="shared" si="1"/>
        <v>5955.9894339622642</v>
      </c>
      <c r="O127" s="3" cm="1">
        <f t="array" ref="O127">_xlfn.IFS(AND(K127="Broker",J127="Resale"),F127*0.5,AND(K127="Owner",J127="Resale"),F127*0,AND(K127="Builder",J127="Resale"),F127*0.3,AND(J127="New",K127="Broker"),F127*0.1,AND(J127="New",K127="Owner"),F127*0,AND(J127="New",K127="Builder"),F127*0.5)</f>
        <v>0</v>
      </c>
    </row>
    <row r="128" spans="1:15" x14ac:dyDescent="0.3">
      <c r="A128" s="8" t="s">
        <v>156</v>
      </c>
      <c r="B128" s="4" t="s">
        <v>16</v>
      </c>
      <c r="C128" s="4" t="s">
        <v>31</v>
      </c>
      <c r="D128" s="4">
        <v>2</v>
      </c>
      <c r="E128" s="4">
        <v>859</v>
      </c>
      <c r="F128" s="4">
        <v>5681650</v>
      </c>
      <c r="G128" s="4">
        <v>2</v>
      </c>
      <c r="H128" s="4">
        <v>2</v>
      </c>
      <c r="I128" s="4" t="s">
        <v>27</v>
      </c>
      <c r="J128" s="4" t="s">
        <v>19</v>
      </c>
      <c r="K128" s="4" t="s">
        <v>24</v>
      </c>
      <c r="L128" s="9">
        <v>45080</v>
      </c>
      <c r="M128" s="9" t="str">
        <f>TEXT(Source_data[[#This Row],[Listing_Date]],"mmm-yy")</f>
        <v>Jun-23</v>
      </c>
      <c r="N128" s="4">
        <f t="shared" si="1"/>
        <v>6614.2607683352735</v>
      </c>
      <c r="O128" s="3" cm="1">
        <f t="array" ref="O128">_xlfn.IFS(AND(K128="Broker",J128="Resale"),F128*0.5,AND(K128="Owner",J128="Resale"),F128*0,AND(K128="Builder",J128="Resale"),F128*0.3,AND(J128="New",K128="Broker"),F128*0.1,AND(J128="New",K128="Owner"),F128*0,AND(J128="New",K128="Builder"),F128*0.5)</f>
        <v>2840825</v>
      </c>
    </row>
    <row r="129" spans="1:15" x14ac:dyDescent="0.3">
      <c r="A129" s="8" t="s">
        <v>157</v>
      </c>
      <c r="B129" s="4" t="s">
        <v>16</v>
      </c>
      <c r="C129" s="4" t="s">
        <v>22</v>
      </c>
      <c r="D129" s="4">
        <v>3</v>
      </c>
      <c r="E129" s="4">
        <v>1285</v>
      </c>
      <c r="F129" s="4">
        <v>6865655</v>
      </c>
      <c r="G129" s="4">
        <v>4</v>
      </c>
      <c r="H129" s="4">
        <v>3</v>
      </c>
      <c r="I129" s="4" t="s">
        <v>18</v>
      </c>
      <c r="J129" s="4" t="s">
        <v>19</v>
      </c>
      <c r="K129" s="4" t="s">
        <v>20</v>
      </c>
      <c r="L129" s="9">
        <v>45522</v>
      </c>
      <c r="M129" s="9" t="str">
        <f>TEXT(Source_data[[#This Row],[Listing_Date]],"mmm-yy")</f>
        <v>Aug-24</v>
      </c>
      <c r="N129" s="4">
        <f t="shared" si="1"/>
        <v>5342.9221789883268</v>
      </c>
      <c r="O129" s="3" cm="1">
        <f t="array" ref="O129">_xlfn.IFS(AND(K129="Broker",J129="Resale"),F129*0.5,AND(K129="Owner",J129="Resale"),F129*0,AND(K129="Builder",J129="Resale"),F129*0.3,AND(J129="New",K129="Broker"),F129*0.1,AND(J129="New",K129="Owner"),F129*0,AND(J129="New",K129="Builder"),F129*0.5)</f>
        <v>686565.5</v>
      </c>
    </row>
    <row r="130" spans="1:15" x14ac:dyDescent="0.3">
      <c r="A130" s="8" t="s">
        <v>158</v>
      </c>
      <c r="B130" s="4" t="s">
        <v>16</v>
      </c>
      <c r="C130" s="4" t="s">
        <v>29</v>
      </c>
      <c r="D130" s="4">
        <v>3</v>
      </c>
      <c r="E130" s="4">
        <v>1040</v>
      </c>
      <c r="F130" s="4">
        <v>3741587</v>
      </c>
      <c r="G130" s="4">
        <v>3</v>
      </c>
      <c r="H130" s="4">
        <v>1</v>
      </c>
      <c r="I130" s="4" t="s">
        <v>8</v>
      </c>
      <c r="J130" s="4" t="s">
        <v>23</v>
      </c>
      <c r="K130" s="4" t="s">
        <v>20</v>
      </c>
      <c r="L130" s="9">
        <v>45160</v>
      </c>
      <c r="M130" s="9" t="str">
        <f>TEXT(Source_data[[#This Row],[Listing_Date]],"mmm-yy")</f>
        <v>Aug-23</v>
      </c>
      <c r="N130" s="4">
        <f t="shared" si="1"/>
        <v>3597.6798076923078</v>
      </c>
      <c r="O130" s="3" cm="1">
        <f t="array" ref="O130">_xlfn.IFS(AND(K130="Broker",J130="Resale"),F130*0.5,AND(K130="Owner",J130="Resale"),F130*0,AND(K130="Builder",J130="Resale"),F130*0.3,AND(J130="New",K130="Broker"),F130*0.1,AND(J130="New",K130="Owner"),F130*0,AND(J130="New",K130="Builder"),F130*0.5)</f>
        <v>1870793.5</v>
      </c>
    </row>
    <row r="131" spans="1:15" x14ac:dyDescent="0.3">
      <c r="A131" s="8" t="s">
        <v>159</v>
      </c>
      <c r="B131" s="4" t="s">
        <v>16</v>
      </c>
      <c r="C131" s="4" t="s">
        <v>31</v>
      </c>
      <c r="D131" s="4">
        <v>2</v>
      </c>
      <c r="E131" s="4">
        <v>573</v>
      </c>
      <c r="F131" s="4">
        <v>4321164</v>
      </c>
      <c r="G131" s="4">
        <v>2</v>
      </c>
      <c r="H131" s="4">
        <v>2</v>
      </c>
      <c r="I131" s="4" t="s">
        <v>18</v>
      </c>
      <c r="J131" s="4" t="s">
        <v>23</v>
      </c>
      <c r="K131" s="4" t="s">
        <v>24</v>
      </c>
      <c r="L131" s="9">
        <v>45498</v>
      </c>
      <c r="M131" s="9" t="str">
        <f>TEXT(Source_data[[#This Row],[Listing_Date]],"mmm-yy")</f>
        <v>Jul-24</v>
      </c>
      <c r="N131" s="4">
        <f t="shared" ref="N131:N194" si="2">F131/E131</f>
        <v>7541.2984293193713</v>
      </c>
      <c r="O131" s="3" cm="1">
        <f t="array" ref="O131">_xlfn.IFS(AND(K131="Broker",J131="Resale"),F131*0.5,AND(K131="Owner",J131="Resale"),F131*0,AND(K131="Builder",J131="Resale"),F131*0.3,AND(J131="New",K131="Broker"),F131*0.1,AND(J131="New",K131="Owner"),F131*0,AND(J131="New",K131="Builder"),F131*0.5)</f>
        <v>1296349.2</v>
      </c>
    </row>
    <row r="132" spans="1:15" x14ac:dyDescent="0.3">
      <c r="A132" s="8" t="s">
        <v>160</v>
      </c>
      <c r="B132" s="4" t="s">
        <v>16</v>
      </c>
      <c r="C132" s="4" t="s">
        <v>31</v>
      </c>
      <c r="D132" s="4">
        <v>2</v>
      </c>
      <c r="E132" s="4">
        <v>1003</v>
      </c>
      <c r="F132" s="4">
        <v>5483269</v>
      </c>
      <c r="G132" s="4">
        <v>3</v>
      </c>
      <c r="H132" s="4">
        <v>2</v>
      </c>
      <c r="I132" s="4" t="s">
        <v>8</v>
      </c>
      <c r="J132" s="4" t="s">
        <v>19</v>
      </c>
      <c r="K132" s="4" t="s">
        <v>24</v>
      </c>
      <c r="L132" s="9">
        <v>45519</v>
      </c>
      <c r="M132" s="9" t="str">
        <f>TEXT(Source_data[[#This Row],[Listing_Date]],"mmm-yy")</f>
        <v>Aug-24</v>
      </c>
      <c r="N132" s="4">
        <f t="shared" si="2"/>
        <v>5466.8683948155531</v>
      </c>
      <c r="O132" s="3" cm="1">
        <f t="array" ref="O132">_xlfn.IFS(AND(K132="Broker",J132="Resale"),F132*0.5,AND(K132="Owner",J132="Resale"),F132*0,AND(K132="Builder",J132="Resale"),F132*0.3,AND(J132="New",K132="Broker"),F132*0.1,AND(J132="New",K132="Owner"),F132*0,AND(J132="New",K132="Builder"),F132*0.5)</f>
        <v>2741634.5</v>
      </c>
    </row>
    <row r="133" spans="1:15" x14ac:dyDescent="0.3">
      <c r="A133" s="8" t="s">
        <v>161</v>
      </c>
      <c r="B133" s="4" t="s">
        <v>16</v>
      </c>
      <c r="C133" s="4" t="s">
        <v>22</v>
      </c>
      <c r="D133" s="4">
        <v>4</v>
      </c>
      <c r="E133" s="4">
        <v>2120</v>
      </c>
      <c r="F133" s="4">
        <v>10535164</v>
      </c>
      <c r="G133" s="4">
        <v>3</v>
      </c>
      <c r="H133" s="4">
        <v>2</v>
      </c>
      <c r="I133" s="4" t="s">
        <v>18</v>
      </c>
      <c r="J133" s="4" t="s">
        <v>23</v>
      </c>
      <c r="K133" s="4" t="s">
        <v>20</v>
      </c>
      <c r="L133" s="9">
        <v>44946</v>
      </c>
      <c r="M133" s="9" t="str">
        <f>TEXT(Source_data[[#This Row],[Listing_Date]],"mmm-yy")</f>
        <v>Jan-23</v>
      </c>
      <c r="N133" s="4">
        <f t="shared" si="2"/>
        <v>4969.4169811320753</v>
      </c>
      <c r="O133" s="3" cm="1">
        <f t="array" ref="O133">_xlfn.IFS(AND(K133="Broker",J133="Resale"),F133*0.5,AND(K133="Owner",J133="Resale"),F133*0,AND(K133="Builder",J133="Resale"),F133*0.3,AND(J133="New",K133="Broker"),F133*0.1,AND(J133="New",K133="Owner"),F133*0,AND(J133="New",K133="Builder"),F133*0.5)</f>
        <v>5267582</v>
      </c>
    </row>
    <row r="134" spans="1:15" x14ac:dyDescent="0.3">
      <c r="A134" s="8" t="s">
        <v>162</v>
      </c>
      <c r="B134" s="4" t="s">
        <v>16</v>
      </c>
      <c r="C134" s="4" t="s">
        <v>29</v>
      </c>
      <c r="D134" s="4">
        <v>4</v>
      </c>
      <c r="E134" s="4">
        <v>2127</v>
      </c>
      <c r="F134" s="4">
        <v>11904658</v>
      </c>
      <c r="G134" s="4">
        <v>3</v>
      </c>
      <c r="H134" s="4">
        <v>1</v>
      </c>
      <c r="I134" s="4" t="s">
        <v>27</v>
      </c>
      <c r="J134" s="4" t="s">
        <v>23</v>
      </c>
      <c r="K134" s="4" t="s">
        <v>36</v>
      </c>
      <c r="L134" s="9">
        <v>45111</v>
      </c>
      <c r="M134" s="9" t="str">
        <f>TEXT(Source_data[[#This Row],[Listing_Date]],"mmm-yy")</f>
        <v>Jul-23</v>
      </c>
      <c r="N134" s="4">
        <f t="shared" si="2"/>
        <v>5596.9243065350256</v>
      </c>
      <c r="O134" s="3" cm="1">
        <f t="array" ref="O134">_xlfn.IFS(AND(K134="Broker",J134="Resale"),F134*0.5,AND(K134="Owner",J134="Resale"),F134*0,AND(K134="Builder",J134="Resale"),F134*0.3,AND(J134="New",K134="Broker"),F134*0.1,AND(J134="New",K134="Owner"),F134*0,AND(J134="New",K134="Builder"),F134*0.5)</f>
        <v>0</v>
      </c>
    </row>
    <row r="135" spans="1:15" x14ac:dyDescent="0.3">
      <c r="A135" s="8" t="s">
        <v>163</v>
      </c>
      <c r="B135" s="4" t="s">
        <v>16</v>
      </c>
      <c r="C135" s="4" t="s">
        <v>29</v>
      </c>
      <c r="D135" s="4">
        <v>2</v>
      </c>
      <c r="E135" s="4">
        <v>764</v>
      </c>
      <c r="F135" s="4">
        <v>4382137</v>
      </c>
      <c r="G135" s="4">
        <v>2</v>
      </c>
      <c r="H135" s="4">
        <v>3</v>
      </c>
      <c r="I135" s="4" t="s">
        <v>27</v>
      </c>
      <c r="J135" s="4" t="s">
        <v>19</v>
      </c>
      <c r="K135" s="4" t="s">
        <v>24</v>
      </c>
      <c r="L135" s="9">
        <v>45631</v>
      </c>
      <c r="M135" s="9" t="str">
        <f>TEXT(Source_data[[#This Row],[Listing_Date]],"mmm-yy")</f>
        <v>Dec-24</v>
      </c>
      <c r="N135" s="4">
        <f t="shared" si="2"/>
        <v>5735.7814136125653</v>
      </c>
      <c r="O135" s="3" cm="1">
        <f t="array" ref="O135">_xlfn.IFS(AND(K135="Broker",J135="Resale"),F135*0.5,AND(K135="Owner",J135="Resale"),F135*0,AND(K135="Builder",J135="Resale"),F135*0.3,AND(J135="New",K135="Broker"),F135*0.1,AND(J135="New",K135="Owner"),F135*0,AND(J135="New",K135="Builder"),F135*0.5)</f>
        <v>2191068.5</v>
      </c>
    </row>
    <row r="136" spans="1:15" x14ac:dyDescent="0.3">
      <c r="A136" s="8" t="s">
        <v>164</v>
      </c>
      <c r="B136" s="4" t="s">
        <v>16</v>
      </c>
      <c r="C136" s="4" t="s">
        <v>31</v>
      </c>
      <c r="D136" s="4">
        <v>3</v>
      </c>
      <c r="E136" s="4">
        <v>2437</v>
      </c>
      <c r="F136" s="4">
        <v>13892179</v>
      </c>
      <c r="G136" s="4">
        <v>2</v>
      </c>
      <c r="H136" s="4">
        <v>2</v>
      </c>
      <c r="I136" s="4" t="s">
        <v>8</v>
      </c>
      <c r="J136" s="4" t="s">
        <v>23</v>
      </c>
      <c r="K136" s="4" t="s">
        <v>20</v>
      </c>
      <c r="L136" s="9">
        <v>45862</v>
      </c>
      <c r="M136" s="9" t="str">
        <f>TEXT(Source_data[[#This Row],[Listing_Date]],"mmm-yy")</f>
        <v>Jul-25</v>
      </c>
      <c r="N136" s="4">
        <f t="shared" si="2"/>
        <v>5700.5248256052528</v>
      </c>
      <c r="O136" s="3" cm="1">
        <f t="array" ref="O136">_xlfn.IFS(AND(K136="Broker",J136="Resale"),F136*0.5,AND(K136="Owner",J136="Resale"),F136*0,AND(K136="Builder",J136="Resale"),F136*0.3,AND(J136="New",K136="Broker"),F136*0.1,AND(J136="New",K136="Owner"),F136*0,AND(J136="New",K136="Builder"),F136*0.5)</f>
        <v>6946089.5</v>
      </c>
    </row>
    <row r="137" spans="1:15" x14ac:dyDescent="0.3">
      <c r="A137" s="8" t="s">
        <v>165</v>
      </c>
      <c r="B137" s="4" t="s">
        <v>16</v>
      </c>
      <c r="C137" s="4" t="s">
        <v>35</v>
      </c>
      <c r="D137" s="4">
        <v>2</v>
      </c>
      <c r="E137" s="4">
        <v>1276</v>
      </c>
      <c r="F137" s="4">
        <v>7229856</v>
      </c>
      <c r="G137" s="4">
        <v>2</v>
      </c>
      <c r="H137" s="4">
        <v>2</v>
      </c>
      <c r="I137" s="4" t="s">
        <v>27</v>
      </c>
      <c r="J137" s="4" t="s">
        <v>23</v>
      </c>
      <c r="K137" s="4" t="s">
        <v>24</v>
      </c>
      <c r="L137" s="9">
        <v>45004</v>
      </c>
      <c r="M137" s="9" t="str">
        <f>TEXT(Source_data[[#This Row],[Listing_Date]],"mmm-yy")</f>
        <v>Mar-23</v>
      </c>
      <c r="N137" s="4">
        <f t="shared" si="2"/>
        <v>5666.0313479623828</v>
      </c>
      <c r="O137" s="3" cm="1">
        <f t="array" ref="O137">_xlfn.IFS(AND(K137="Broker",J137="Resale"),F137*0.5,AND(K137="Owner",J137="Resale"),F137*0,AND(K137="Builder",J137="Resale"),F137*0.3,AND(J137="New",K137="Broker"),F137*0.1,AND(J137="New",K137="Owner"),F137*0,AND(J137="New",K137="Builder"),F137*0.5)</f>
        <v>2168956.7999999998</v>
      </c>
    </row>
    <row r="138" spans="1:15" x14ac:dyDescent="0.3">
      <c r="A138" s="8" t="s">
        <v>166</v>
      </c>
      <c r="B138" s="4" t="s">
        <v>16</v>
      </c>
      <c r="C138" s="4" t="s">
        <v>22</v>
      </c>
      <c r="D138" s="4">
        <v>2</v>
      </c>
      <c r="E138" s="4">
        <v>1108</v>
      </c>
      <c r="F138" s="4">
        <v>6999153</v>
      </c>
      <c r="G138" s="4">
        <v>2</v>
      </c>
      <c r="H138" s="4">
        <v>4</v>
      </c>
      <c r="I138" s="4" t="s">
        <v>8</v>
      </c>
      <c r="J138" s="4" t="s">
        <v>23</v>
      </c>
      <c r="K138" s="4" t="s">
        <v>20</v>
      </c>
      <c r="L138" s="9">
        <v>45167</v>
      </c>
      <c r="M138" s="9" t="str">
        <f>TEXT(Source_data[[#This Row],[Listing_Date]],"mmm-yy")</f>
        <v>Aug-23</v>
      </c>
      <c r="N138" s="4">
        <f t="shared" si="2"/>
        <v>6316.9250902527074</v>
      </c>
      <c r="O138" s="3" cm="1">
        <f t="array" ref="O138">_xlfn.IFS(AND(K138="Broker",J138="Resale"),F138*0.5,AND(K138="Owner",J138="Resale"),F138*0,AND(K138="Builder",J138="Resale"),F138*0.3,AND(J138="New",K138="Broker"),F138*0.1,AND(J138="New",K138="Owner"),F138*0,AND(J138="New",K138="Builder"),F138*0.5)</f>
        <v>3499576.5</v>
      </c>
    </row>
    <row r="139" spans="1:15" x14ac:dyDescent="0.3">
      <c r="A139" s="8" t="s">
        <v>167</v>
      </c>
      <c r="B139" s="4" t="s">
        <v>16</v>
      </c>
      <c r="C139" s="4" t="s">
        <v>53</v>
      </c>
      <c r="D139" s="4">
        <v>4</v>
      </c>
      <c r="E139" s="4">
        <v>2078</v>
      </c>
      <c r="F139" s="4">
        <v>14743358</v>
      </c>
      <c r="G139" s="4">
        <v>3</v>
      </c>
      <c r="H139" s="4">
        <v>0</v>
      </c>
      <c r="I139" s="4" t="s">
        <v>8</v>
      </c>
      <c r="J139" s="4" t="s">
        <v>19</v>
      </c>
      <c r="K139" s="4" t="s">
        <v>24</v>
      </c>
      <c r="L139" s="9">
        <v>45471</v>
      </c>
      <c r="M139" s="9" t="str">
        <f>TEXT(Source_data[[#This Row],[Listing_Date]],"mmm-yy")</f>
        <v>Jun-24</v>
      </c>
      <c r="N139" s="4">
        <f t="shared" si="2"/>
        <v>7094.9749759384022</v>
      </c>
      <c r="O139" s="3" cm="1">
        <f t="array" ref="O139">_xlfn.IFS(AND(K139="Broker",J139="Resale"),F139*0.5,AND(K139="Owner",J139="Resale"),F139*0,AND(K139="Builder",J139="Resale"),F139*0.3,AND(J139="New",K139="Broker"),F139*0.1,AND(J139="New",K139="Owner"),F139*0,AND(J139="New",K139="Builder"),F139*0.5)</f>
        <v>7371679</v>
      </c>
    </row>
    <row r="140" spans="1:15" x14ac:dyDescent="0.3">
      <c r="A140" s="8" t="s">
        <v>168</v>
      </c>
      <c r="B140" s="4" t="s">
        <v>16</v>
      </c>
      <c r="C140" s="4" t="s">
        <v>35</v>
      </c>
      <c r="D140" s="4">
        <v>3</v>
      </c>
      <c r="E140" s="4">
        <v>1075</v>
      </c>
      <c r="F140" s="4">
        <v>6124115</v>
      </c>
      <c r="G140" s="4">
        <v>3</v>
      </c>
      <c r="H140" s="4">
        <v>0</v>
      </c>
      <c r="I140" s="4" t="s">
        <v>18</v>
      </c>
      <c r="J140" s="4" t="s">
        <v>23</v>
      </c>
      <c r="K140" s="4" t="s">
        <v>20</v>
      </c>
      <c r="L140" s="9">
        <v>45601</v>
      </c>
      <c r="M140" s="9" t="str">
        <f>TEXT(Source_data[[#This Row],[Listing_Date]],"mmm-yy")</f>
        <v>Nov-24</v>
      </c>
      <c r="N140" s="4">
        <f t="shared" si="2"/>
        <v>5696.8511627906973</v>
      </c>
      <c r="O140" s="3" cm="1">
        <f t="array" ref="O140">_xlfn.IFS(AND(K140="Broker",J140="Resale"),F140*0.5,AND(K140="Owner",J140="Resale"),F140*0,AND(K140="Builder",J140="Resale"),F140*0.3,AND(J140="New",K140="Broker"),F140*0.1,AND(J140="New",K140="Owner"),F140*0,AND(J140="New",K140="Builder"),F140*0.5)</f>
        <v>3062057.5</v>
      </c>
    </row>
    <row r="141" spans="1:15" x14ac:dyDescent="0.3">
      <c r="A141" s="8" t="s">
        <v>169</v>
      </c>
      <c r="B141" s="4" t="s">
        <v>16</v>
      </c>
      <c r="C141" s="4" t="s">
        <v>22</v>
      </c>
      <c r="D141" s="4">
        <v>2</v>
      </c>
      <c r="E141" s="4">
        <v>617</v>
      </c>
      <c r="F141" s="4">
        <v>4428517</v>
      </c>
      <c r="G141" s="4">
        <v>2</v>
      </c>
      <c r="H141" s="4">
        <v>1</v>
      </c>
      <c r="I141" s="4" t="s">
        <v>27</v>
      </c>
      <c r="J141" s="4" t="s">
        <v>19</v>
      </c>
      <c r="K141" s="4" t="s">
        <v>36</v>
      </c>
      <c r="L141" s="9">
        <v>45771</v>
      </c>
      <c r="M141" s="9" t="str">
        <f>TEXT(Source_data[[#This Row],[Listing_Date]],"mmm-yy")</f>
        <v>Apr-25</v>
      </c>
      <c r="N141" s="4">
        <f t="shared" si="2"/>
        <v>7177.4991896272286</v>
      </c>
      <c r="O141" s="3" cm="1">
        <f t="array" ref="O141">_xlfn.IFS(AND(K141="Broker",J141="Resale"),F141*0.5,AND(K141="Owner",J141="Resale"),F141*0,AND(K141="Builder",J141="Resale"),F141*0.3,AND(J141="New",K141="Broker"),F141*0.1,AND(J141="New",K141="Owner"),F141*0,AND(J141="New",K141="Builder"),F141*0.5)</f>
        <v>0</v>
      </c>
    </row>
    <row r="142" spans="1:15" x14ac:dyDescent="0.3">
      <c r="A142" s="8" t="s">
        <v>170</v>
      </c>
      <c r="B142" s="4" t="s">
        <v>16</v>
      </c>
      <c r="C142" s="4" t="s">
        <v>26</v>
      </c>
      <c r="D142" s="4">
        <v>2</v>
      </c>
      <c r="E142" s="4">
        <v>1132</v>
      </c>
      <c r="F142" s="4">
        <v>5480438</v>
      </c>
      <c r="G142" s="4">
        <v>3</v>
      </c>
      <c r="H142" s="4">
        <v>2</v>
      </c>
      <c r="I142" s="4" t="s">
        <v>8</v>
      </c>
      <c r="J142" s="4" t="s">
        <v>23</v>
      </c>
      <c r="K142" s="4" t="s">
        <v>20</v>
      </c>
      <c r="L142" s="9">
        <v>45398</v>
      </c>
      <c r="M142" s="9" t="str">
        <f>TEXT(Source_data[[#This Row],[Listing_Date]],"mmm-yy")</f>
        <v>Apr-24</v>
      </c>
      <c r="N142" s="4">
        <f t="shared" si="2"/>
        <v>4841.3763250883394</v>
      </c>
      <c r="O142" s="3" cm="1">
        <f t="array" ref="O142">_xlfn.IFS(AND(K142="Broker",J142="Resale"),F142*0.5,AND(K142="Owner",J142="Resale"),F142*0,AND(K142="Builder",J142="Resale"),F142*0.3,AND(J142="New",K142="Broker"),F142*0.1,AND(J142="New",K142="Owner"),F142*0,AND(J142="New",K142="Builder"),F142*0.5)</f>
        <v>2740219</v>
      </c>
    </row>
    <row r="143" spans="1:15" x14ac:dyDescent="0.3">
      <c r="A143" s="8" t="s">
        <v>171</v>
      </c>
      <c r="B143" s="4" t="s">
        <v>16</v>
      </c>
      <c r="C143" s="4" t="s">
        <v>35</v>
      </c>
      <c r="D143" s="4">
        <v>4</v>
      </c>
      <c r="E143" s="4">
        <v>1725</v>
      </c>
      <c r="F143" s="4">
        <v>12415486</v>
      </c>
      <c r="G143" s="4">
        <v>2</v>
      </c>
      <c r="H143" s="4">
        <v>2</v>
      </c>
      <c r="I143" s="4" t="s">
        <v>8</v>
      </c>
      <c r="J143" s="4" t="s">
        <v>23</v>
      </c>
      <c r="K143" s="4" t="s">
        <v>24</v>
      </c>
      <c r="L143" s="9">
        <v>45561</v>
      </c>
      <c r="M143" s="9" t="str">
        <f>TEXT(Source_data[[#This Row],[Listing_Date]],"mmm-yy")</f>
        <v>Sep-24</v>
      </c>
      <c r="N143" s="4">
        <f t="shared" si="2"/>
        <v>7197.3831884057972</v>
      </c>
      <c r="O143" s="3" cm="1">
        <f t="array" ref="O143">_xlfn.IFS(AND(K143="Broker",J143="Resale"),F143*0.5,AND(K143="Owner",J143="Resale"),F143*0,AND(K143="Builder",J143="Resale"),F143*0.3,AND(J143="New",K143="Broker"),F143*0.1,AND(J143="New",K143="Owner"),F143*0,AND(J143="New",K143="Builder"),F143*0.5)</f>
        <v>3724645.8</v>
      </c>
    </row>
    <row r="144" spans="1:15" x14ac:dyDescent="0.3">
      <c r="A144" s="8" t="s">
        <v>172</v>
      </c>
      <c r="B144" s="4" t="s">
        <v>16</v>
      </c>
      <c r="C144" s="4" t="s">
        <v>35</v>
      </c>
      <c r="D144" s="4">
        <v>2</v>
      </c>
      <c r="E144" s="4">
        <v>1429</v>
      </c>
      <c r="F144" s="4">
        <v>7053702</v>
      </c>
      <c r="G144" s="4">
        <v>2</v>
      </c>
      <c r="H144" s="4">
        <v>2</v>
      </c>
      <c r="I144" s="4" t="s">
        <v>8</v>
      </c>
      <c r="J144" s="4" t="s">
        <v>19</v>
      </c>
      <c r="K144" s="4" t="s">
        <v>36</v>
      </c>
      <c r="L144" s="9">
        <v>45606</v>
      </c>
      <c r="M144" s="9" t="str">
        <f>TEXT(Source_data[[#This Row],[Listing_Date]],"mmm-yy")</f>
        <v>Nov-24</v>
      </c>
      <c r="N144" s="4">
        <f t="shared" si="2"/>
        <v>4936.1105668299506</v>
      </c>
      <c r="O144" s="3" cm="1">
        <f t="array" ref="O144">_xlfn.IFS(AND(K144="Broker",J144="Resale"),F144*0.5,AND(K144="Owner",J144="Resale"),F144*0,AND(K144="Builder",J144="Resale"),F144*0.3,AND(J144="New",K144="Broker"),F144*0.1,AND(J144="New",K144="Owner"),F144*0,AND(J144="New",K144="Builder"),F144*0.5)</f>
        <v>0</v>
      </c>
    </row>
    <row r="145" spans="1:15" x14ac:dyDescent="0.3">
      <c r="A145" s="8" t="s">
        <v>173</v>
      </c>
      <c r="B145" s="4" t="s">
        <v>16</v>
      </c>
      <c r="C145" s="4" t="s">
        <v>35</v>
      </c>
      <c r="D145" s="4">
        <v>1</v>
      </c>
      <c r="E145" s="4">
        <v>452</v>
      </c>
      <c r="F145" s="4">
        <v>2869348</v>
      </c>
      <c r="G145" s="4">
        <v>1</v>
      </c>
      <c r="H145" s="4">
        <v>1</v>
      </c>
      <c r="I145" s="4" t="s">
        <v>27</v>
      </c>
      <c r="J145" s="4" t="s">
        <v>19</v>
      </c>
      <c r="K145" s="4" t="s">
        <v>36</v>
      </c>
      <c r="L145" s="9">
        <v>45642</v>
      </c>
      <c r="M145" s="9" t="str">
        <f>TEXT(Source_data[[#This Row],[Listing_Date]],"mmm-yy")</f>
        <v>Dec-24</v>
      </c>
      <c r="N145" s="4">
        <f t="shared" si="2"/>
        <v>6348.1150442477874</v>
      </c>
      <c r="O145" s="3" cm="1">
        <f t="array" ref="O145">_xlfn.IFS(AND(K145="Broker",J145="Resale"),F145*0.5,AND(K145="Owner",J145="Resale"),F145*0,AND(K145="Builder",J145="Resale"),F145*0.3,AND(J145="New",K145="Broker"),F145*0.1,AND(J145="New",K145="Owner"),F145*0,AND(J145="New",K145="Builder"),F145*0.5)</f>
        <v>0</v>
      </c>
    </row>
    <row r="146" spans="1:15" x14ac:dyDescent="0.3">
      <c r="A146" s="8" t="s">
        <v>174</v>
      </c>
      <c r="B146" s="4" t="s">
        <v>16</v>
      </c>
      <c r="C146" s="4" t="s">
        <v>22</v>
      </c>
      <c r="D146" s="4">
        <v>3</v>
      </c>
      <c r="E146" s="4">
        <v>1204</v>
      </c>
      <c r="F146" s="4">
        <v>12066956</v>
      </c>
      <c r="G146" s="4">
        <v>2</v>
      </c>
      <c r="H146" s="4">
        <v>2</v>
      </c>
      <c r="I146" s="4" t="s">
        <v>8</v>
      </c>
      <c r="J146" s="4" t="s">
        <v>19</v>
      </c>
      <c r="K146" s="4" t="s">
        <v>24</v>
      </c>
      <c r="L146" s="9">
        <v>45866</v>
      </c>
      <c r="M146" s="9" t="str">
        <f>TEXT(Source_data[[#This Row],[Listing_Date]],"mmm-yy")</f>
        <v>Jul-25</v>
      </c>
      <c r="N146" s="4">
        <f t="shared" si="2"/>
        <v>10022.388704318937</v>
      </c>
      <c r="O146" s="3" cm="1">
        <f t="array" ref="O146">_xlfn.IFS(AND(K146="Broker",J146="Resale"),F146*0.5,AND(K146="Owner",J146="Resale"),F146*0,AND(K146="Builder",J146="Resale"),F146*0.3,AND(J146="New",K146="Broker"),F146*0.1,AND(J146="New",K146="Owner"),F146*0,AND(J146="New",K146="Builder"),F146*0.5)</f>
        <v>6033478</v>
      </c>
    </row>
    <row r="147" spans="1:15" x14ac:dyDescent="0.3">
      <c r="A147" s="8" t="s">
        <v>175</v>
      </c>
      <c r="B147" s="4" t="s">
        <v>16</v>
      </c>
      <c r="C147" s="4" t="s">
        <v>22</v>
      </c>
      <c r="D147" s="4">
        <v>4</v>
      </c>
      <c r="E147" s="4">
        <v>2463</v>
      </c>
      <c r="F147" s="4">
        <v>12314781</v>
      </c>
      <c r="G147" s="4">
        <v>4</v>
      </c>
      <c r="H147" s="4">
        <v>2</v>
      </c>
      <c r="I147" s="4" t="s">
        <v>18</v>
      </c>
      <c r="J147" s="4" t="s">
        <v>23</v>
      </c>
      <c r="K147" s="4" t="s">
        <v>24</v>
      </c>
      <c r="L147" s="9">
        <v>45445</v>
      </c>
      <c r="M147" s="9" t="str">
        <f>TEXT(Source_data[[#This Row],[Listing_Date]],"mmm-yy")</f>
        <v>Jun-24</v>
      </c>
      <c r="N147" s="4">
        <f t="shared" si="2"/>
        <v>4999.9110840438489</v>
      </c>
      <c r="O147" s="3" cm="1">
        <f t="array" ref="O147">_xlfn.IFS(AND(K147="Broker",J147="Resale"),F147*0.5,AND(K147="Owner",J147="Resale"),F147*0,AND(K147="Builder",J147="Resale"),F147*0.3,AND(J147="New",K147="Broker"),F147*0.1,AND(J147="New",K147="Owner"),F147*0,AND(J147="New",K147="Builder"),F147*0.5)</f>
        <v>3694434.3</v>
      </c>
    </row>
    <row r="148" spans="1:15" x14ac:dyDescent="0.3">
      <c r="A148" s="8" t="s">
        <v>176</v>
      </c>
      <c r="B148" s="4" t="s">
        <v>16</v>
      </c>
      <c r="C148" s="4" t="s">
        <v>26</v>
      </c>
      <c r="D148" s="4">
        <v>2</v>
      </c>
      <c r="E148" s="4">
        <v>1563</v>
      </c>
      <c r="F148" s="4">
        <v>9449052</v>
      </c>
      <c r="G148" s="4">
        <v>2</v>
      </c>
      <c r="H148" s="4">
        <v>1</v>
      </c>
      <c r="I148" s="4" t="s">
        <v>27</v>
      </c>
      <c r="J148" s="4" t="s">
        <v>23</v>
      </c>
      <c r="K148" s="4" t="s">
        <v>20</v>
      </c>
      <c r="L148" s="9">
        <v>45460</v>
      </c>
      <c r="M148" s="9" t="str">
        <f>TEXT(Source_data[[#This Row],[Listing_Date]],"mmm-yy")</f>
        <v>Jun-24</v>
      </c>
      <c r="N148" s="4">
        <f t="shared" si="2"/>
        <v>6045.4587332053743</v>
      </c>
      <c r="O148" s="3" cm="1">
        <f t="array" ref="O148">_xlfn.IFS(AND(K148="Broker",J148="Resale"),F148*0.5,AND(K148="Owner",J148="Resale"),F148*0,AND(K148="Builder",J148="Resale"),F148*0.3,AND(J148="New",K148="Broker"),F148*0.1,AND(J148="New",K148="Owner"),F148*0,AND(J148="New",K148="Builder"),F148*0.5)</f>
        <v>4724526</v>
      </c>
    </row>
    <row r="149" spans="1:15" x14ac:dyDescent="0.3">
      <c r="A149" s="8" t="s">
        <v>177</v>
      </c>
      <c r="B149" s="4" t="s">
        <v>16</v>
      </c>
      <c r="C149" s="4" t="s">
        <v>22</v>
      </c>
      <c r="D149" s="4">
        <v>3</v>
      </c>
      <c r="E149" s="4">
        <v>1235</v>
      </c>
      <c r="F149" s="4">
        <v>5869172</v>
      </c>
      <c r="G149" s="4">
        <v>3</v>
      </c>
      <c r="H149" s="4">
        <v>1</v>
      </c>
      <c r="I149" s="4" t="s">
        <v>18</v>
      </c>
      <c r="J149" s="4" t="s">
        <v>19</v>
      </c>
      <c r="K149" s="4" t="s">
        <v>36</v>
      </c>
      <c r="L149" s="9">
        <v>45587</v>
      </c>
      <c r="M149" s="9" t="str">
        <f>TEXT(Source_data[[#This Row],[Listing_Date]],"mmm-yy")</f>
        <v>Oct-24</v>
      </c>
      <c r="N149" s="4">
        <f t="shared" si="2"/>
        <v>4752.3659919028341</v>
      </c>
      <c r="O149" s="3" cm="1">
        <f t="array" ref="O149">_xlfn.IFS(AND(K149="Broker",J149="Resale"),F149*0.5,AND(K149="Owner",J149="Resale"),F149*0,AND(K149="Builder",J149="Resale"),F149*0.3,AND(J149="New",K149="Broker"),F149*0.1,AND(J149="New",K149="Owner"),F149*0,AND(J149="New",K149="Builder"),F149*0.5)</f>
        <v>0</v>
      </c>
    </row>
    <row r="150" spans="1:15" x14ac:dyDescent="0.3">
      <c r="A150" s="8" t="s">
        <v>178</v>
      </c>
      <c r="B150" s="4" t="s">
        <v>16</v>
      </c>
      <c r="C150" s="4" t="s">
        <v>26</v>
      </c>
      <c r="D150" s="4">
        <v>3</v>
      </c>
      <c r="E150" s="4">
        <v>840</v>
      </c>
      <c r="F150" s="4">
        <v>4821182</v>
      </c>
      <c r="G150" s="4">
        <v>3</v>
      </c>
      <c r="H150" s="4">
        <v>2</v>
      </c>
      <c r="I150" s="4" t="s">
        <v>18</v>
      </c>
      <c r="J150" s="4" t="s">
        <v>23</v>
      </c>
      <c r="K150" s="4" t="s">
        <v>36</v>
      </c>
      <c r="L150" s="9">
        <v>44985</v>
      </c>
      <c r="M150" s="9" t="str">
        <f>TEXT(Source_data[[#This Row],[Listing_Date]],"mmm-yy")</f>
        <v>Feb-23</v>
      </c>
      <c r="N150" s="4">
        <f t="shared" si="2"/>
        <v>5739.5023809523809</v>
      </c>
      <c r="O150" s="3" cm="1">
        <f t="array" ref="O150">_xlfn.IFS(AND(K150="Broker",J150="Resale"),F150*0.5,AND(K150="Owner",J150="Resale"),F150*0,AND(K150="Builder",J150="Resale"),F150*0.3,AND(J150="New",K150="Broker"),F150*0.1,AND(J150="New",K150="Owner"),F150*0,AND(J150="New",K150="Builder"),F150*0.5)</f>
        <v>0</v>
      </c>
    </row>
    <row r="151" spans="1:15" x14ac:dyDescent="0.3">
      <c r="A151" s="8" t="s">
        <v>179</v>
      </c>
      <c r="B151" s="4" t="s">
        <v>180</v>
      </c>
      <c r="C151" s="4" t="s">
        <v>181</v>
      </c>
      <c r="D151" s="4">
        <v>3</v>
      </c>
      <c r="E151" s="4">
        <v>1630</v>
      </c>
      <c r="F151" s="4">
        <v>13728195</v>
      </c>
      <c r="G151" s="4">
        <v>2</v>
      </c>
      <c r="H151" s="4">
        <v>2</v>
      </c>
      <c r="I151" s="4" t="s">
        <v>8</v>
      </c>
      <c r="J151" s="4" t="s">
        <v>23</v>
      </c>
      <c r="K151" s="4" t="s">
        <v>36</v>
      </c>
      <c r="L151" s="9">
        <v>45685</v>
      </c>
      <c r="M151" s="9" t="str">
        <f>TEXT(Source_data[[#This Row],[Listing_Date]],"mmm-yy")</f>
        <v>Jan-25</v>
      </c>
      <c r="N151" s="4">
        <f t="shared" si="2"/>
        <v>8422.2055214723932</v>
      </c>
      <c r="O151" s="3" cm="1">
        <f t="array" ref="O151">_xlfn.IFS(AND(K151="Broker",J151="Resale"),F151*0.5,AND(K151="Owner",J151="Resale"),F151*0,AND(K151="Builder",J151="Resale"),F151*0.3,AND(J151="New",K151="Broker"),F151*0.1,AND(J151="New",K151="Owner"),F151*0,AND(J151="New",K151="Builder"),F151*0.5)</f>
        <v>0</v>
      </c>
    </row>
    <row r="152" spans="1:15" x14ac:dyDescent="0.3">
      <c r="A152" s="8" t="s">
        <v>182</v>
      </c>
      <c r="B152" s="4" t="s">
        <v>180</v>
      </c>
      <c r="C152" s="4" t="s">
        <v>183</v>
      </c>
      <c r="D152" s="4">
        <v>3</v>
      </c>
      <c r="E152" s="4">
        <v>1212</v>
      </c>
      <c r="F152" s="4">
        <v>14850352</v>
      </c>
      <c r="G152" s="4">
        <v>3</v>
      </c>
      <c r="H152" s="4">
        <v>3</v>
      </c>
      <c r="I152" s="4" t="s">
        <v>18</v>
      </c>
      <c r="J152" s="4" t="s">
        <v>19</v>
      </c>
      <c r="K152" s="4" t="s">
        <v>24</v>
      </c>
      <c r="L152" s="9">
        <v>45448</v>
      </c>
      <c r="M152" s="9" t="str">
        <f>TEXT(Source_data[[#This Row],[Listing_Date]],"mmm-yy")</f>
        <v>Jun-24</v>
      </c>
      <c r="N152" s="4">
        <f t="shared" si="2"/>
        <v>12252.765676567657</v>
      </c>
      <c r="O152" s="3" cm="1">
        <f t="array" ref="O152">_xlfn.IFS(AND(K152="Broker",J152="Resale"),F152*0.5,AND(K152="Owner",J152="Resale"),F152*0,AND(K152="Builder",J152="Resale"),F152*0.3,AND(J152="New",K152="Broker"),F152*0.1,AND(J152="New",K152="Owner"),F152*0,AND(J152="New",K152="Builder"),F152*0.5)</f>
        <v>7425176</v>
      </c>
    </row>
    <row r="153" spans="1:15" x14ac:dyDescent="0.3">
      <c r="A153" s="8" t="s">
        <v>184</v>
      </c>
      <c r="B153" s="4" t="s">
        <v>180</v>
      </c>
      <c r="C153" s="4" t="s">
        <v>185</v>
      </c>
      <c r="D153" s="4">
        <v>4</v>
      </c>
      <c r="E153" s="4">
        <v>1741</v>
      </c>
      <c r="F153" s="4">
        <v>22466768</v>
      </c>
      <c r="G153" s="4">
        <v>3</v>
      </c>
      <c r="H153" s="4">
        <v>2</v>
      </c>
      <c r="I153" s="4" t="s">
        <v>8</v>
      </c>
      <c r="J153" s="4" t="s">
        <v>23</v>
      </c>
      <c r="K153" s="4" t="s">
        <v>36</v>
      </c>
      <c r="L153" s="9">
        <v>45765</v>
      </c>
      <c r="M153" s="9" t="str">
        <f>TEXT(Source_data[[#This Row],[Listing_Date]],"mmm-yy")</f>
        <v>Apr-25</v>
      </c>
      <c r="N153" s="4">
        <f t="shared" si="2"/>
        <v>12904.519241815049</v>
      </c>
      <c r="O153" s="3" cm="1">
        <f t="array" ref="O153">_xlfn.IFS(AND(K153="Broker",J153="Resale"),F153*0.5,AND(K153="Owner",J153="Resale"),F153*0,AND(K153="Builder",J153="Resale"),F153*0.3,AND(J153="New",K153="Broker"),F153*0.1,AND(J153="New",K153="Owner"),F153*0,AND(J153="New",K153="Builder"),F153*0.5)</f>
        <v>0</v>
      </c>
    </row>
    <row r="154" spans="1:15" x14ac:dyDescent="0.3">
      <c r="A154" s="8" t="s">
        <v>186</v>
      </c>
      <c r="B154" s="4" t="s">
        <v>180</v>
      </c>
      <c r="C154" s="4" t="s">
        <v>187</v>
      </c>
      <c r="D154" s="4">
        <v>3</v>
      </c>
      <c r="E154" s="4">
        <v>1249</v>
      </c>
      <c r="F154" s="4">
        <v>14689837</v>
      </c>
      <c r="G154" s="4">
        <v>3</v>
      </c>
      <c r="H154" s="4">
        <v>2</v>
      </c>
      <c r="I154" s="4" t="s">
        <v>67</v>
      </c>
      <c r="J154" s="4" t="s">
        <v>19</v>
      </c>
      <c r="K154" s="4" t="s">
        <v>36</v>
      </c>
      <c r="L154" s="9">
        <v>45248</v>
      </c>
      <c r="M154" s="9" t="str">
        <f>TEXT(Source_data[[#This Row],[Listing_Date]],"mmm-yy")</f>
        <v>Nov-23</v>
      </c>
      <c r="N154" s="4">
        <f t="shared" si="2"/>
        <v>11761.278622898319</v>
      </c>
      <c r="O154" s="3" cm="1">
        <f t="array" ref="O154">_xlfn.IFS(AND(K154="Broker",J154="Resale"),F154*0.5,AND(K154="Owner",J154="Resale"),F154*0,AND(K154="Builder",J154="Resale"),F154*0.3,AND(J154="New",K154="Broker"),F154*0.1,AND(J154="New",K154="Owner"),F154*0,AND(J154="New",K154="Builder"),F154*0.5)</f>
        <v>0</v>
      </c>
    </row>
    <row r="155" spans="1:15" x14ac:dyDescent="0.3">
      <c r="A155" s="8" t="s">
        <v>188</v>
      </c>
      <c r="B155" s="4" t="s">
        <v>180</v>
      </c>
      <c r="C155" s="4" t="s">
        <v>187</v>
      </c>
      <c r="D155" s="4">
        <v>2</v>
      </c>
      <c r="E155" s="4">
        <v>824</v>
      </c>
      <c r="F155" s="4">
        <v>8827742</v>
      </c>
      <c r="G155" s="4">
        <v>1</v>
      </c>
      <c r="H155" s="4">
        <v>3</v>
      </c>
      <c r="I155" s="4" t="s">
        <v>8</v>
      </c>
      <c r="J155" s="4" t="s">
        <v>19</v>
      </c>
      <c r="K155" s="4" t="s">
        <v>36</v>
      </c>
      <c r="L155" s="9">
        <v>44962</v>
      </c>
      <c r="M155" s="9" t="str">
        <f>TEXT(Source_data[[#This Row],[Listing_Date]],"mmm-yy")</f>
        <v>Feb-23</v>
      </c>
      <c r="N155" s="4">
        <f t="shared" si="2"/>
        <v>10713.279126213592</v>
      </c>
      <c r="O155" s="3" cm="1">
        <f t="array" ref="O155">_xlfn.IFS(AND(K155="Broker",J155="Resale"),F155*0.5,AND(K155="Owner",J155="Resale"),F155*0,AND(K155="Builder",J155="Resale"),F155*0.3,AND(J155="New",K155="Broker"),F155*0.1,AND(J155="New",K155="Owner"),F155*0,AND(J155="New",K155="Builder"),F155*0.5)</f>
        <v>0</v>
      </c>
    </row>
    <row r="156" spans="1:15" x14ac:dyDescent="0.3">
      <c r="A156" s="8" t="s">
        <v>189</v>
      </c>
      <c r="B156" s="4" t="s">
        <v>180</v>
      </c>
      <c r="C156" s="4" t="s">
        <v>187</v>
      </c>
      <c r="D156" s="4">
        <v>2</v>
      </c>
      <c r="E156" s="4">
        <v>1204</v>
      </c>
      <c r="F156" s="4">
        <v>12066956</v>
      </c>
      <c r="G156" s="4">
        <v>2</v>
      </c>
      <c r="H156" s="4">
        <v>2</v>
      </c>
      <c r="I156" s="4" t="s">
        <v>8</v>
      </c>
      <c r="J156" s="4" t="s">
        <v>19</v>
      </c>
      <c r="K156" s="4" t="s">
        <v>24</v>
      </c>
      <c r="L156" s="9">
        <v>45756</v>
      </c>
      <c r="M156" s="9" t="str">
        <f>TEXT(Source_data[[#This Row],[Listing_Date]],"mmm-yy")</f>
        <v>Apr-25</v>
      </c>
      <c r="N156" s="4">
        <f t="shared" si="2"/>
        <v>10022.388704318937</v>
      </c>
      <c r="O156" s="3" cm="1">
        <f t="array" ref="O156">_xlfn.IFS(AND(K156="Broker",J156="Resale"),F156*0.5,AND(K156="Owner",J156="Resale"),F156*0,AND(K156="Builder",J156="Resale"),F156*0.3,AND(J156="New",K156="Broker"),F156*0.1,AND(J156="New",K156="Owner"),F156*0,AND(J156="New",K156="Builder"),F156*0.5)</f>
        <v>6033478</v>
      </c>
    </row>
    <row r="157" spans="1:15" x14ac:dyDescent="0.3">
      <c r="A157" s="8" t="s">
        <v>190</v>
      </c>
      <c r="B157" s="4" t="s">
        <v>180</v>
      </c>
      <c r="C157" s="4" t="s">
        <v>185</v>
      </c>
      <c r="D157" s="4">
        <v>3</v>
      </c>
      <c r="E157" s="4">
        <v>1349</v>
      </c>
      <c r="F157" s="4">
        <v>15873554</v>
      </c>
      <c r="G157" s="4">
        <v>2</v>
      </c>
      <c r="H157" s="4">
        <v>3</v>
      </c>
      <c r="I157" s="4" t="s">
        <v>8</v>
      </c>
      <c r="J157" s="4" t="s">
        <v>23</v>
      </c>
      <c r="K157" s="4" t="s">
        <v>24</v>
      </c>
      <c r="L157" s="9">
        <v>45175</v>
      </c>
      <c r="M157" s="9" t="str">
        <f>TEXT(Source_data[[#This Row],[Listing_Date]],"mmm-yy")</f>
        <v>Sep-23</v>
      </c>
      <c r="N157" s="4">
        <f t="shared" si="2"/>
        <v>11766.904373610081</v>
      </c>
      <c r="O157" s="3" cm="1">
        <f t="array" ref="O157">_xlfn.IFS(AND(K157="Broker",J157="Resale"),F157*0.5,AND(K157="Owner",J157="Resale"),F157*0,AND(K157="Builder",J157="Resale"),F157*0.3,AND(J157="New",K157="Broker"),F157*0.1,AND(J157="New",K157="Owner"),F157*0,AND(J157="New",K157="Builder"),F157*0.5)</f>
        <v>4762066.2</v>
      </c>
    </row>
    <row r="158" spans="1:15" x14ac:dyDescent="0.3">
      <c r="A158" s="8" t="s">
        <v>191</v>
      </c>
      <c r="B158" s="4" t="s">
        <v>180</v>
      </c>
      <c r="C158" s="4" t="s">
        <v>192</v>
      </c>
      <c r="D158" s="4">
        <v>2</v>
      </c>
      <c r="E158" s="4">
        <v>719</v>
      </c>
      <c r="F158" s="4">
        <v>8816643</v>
      </c>
      <c r="G158" s="4">
        <v>2</v>
      </c>
      <c r="H158" s="4">
        <v>2</v>
      </c>
      <c r="I158" s="4" t="s">
        <v>8</v>
      </c>
      <c r="J158" s="4" t="s">
        <v>19</v>
      </c>
      <c r="K158" s="4" t="s">
        <v>36</v>
      </c>
      <c r="L158" s="9">
        <v>45350</v>
      </c>
      <c r="M158" s="9" t="str">
        <f>TEXT(Source_data[[#This Row],[Listing_Date]],"mmm-yy")</f>
        <v>Feb-24</v>
      </c>
      <c r="N158" s="4">
        <f t="shared" si="2"/>
        <v>12262.368567454798</v>
      </c>
      <c r="O158" s="3" cm="1">
        <f t="array" ref="O158">_xlfn.IFS(AND(K158="Broker",J158="Resale"),F158*0.5,AND(K158="Owner",J158="Resale"),F158*0,AND(K158="Builder",J158="Resale"),F158*0.3,AND(J158="New",K158="Broker"),F158*0.1,AND(J158="New",K158="Owner"),F158*0,AND(J158="New",K158="Builder"),F158*0.5)</f>
        <v>0</v>
      </c>
    </row>
    <row r="159" spans="1:15" x14ac:dyDescent="0.3">
      <c r="A159" s="8" t="s">
        <v>193</v>
      </c>
      <c r="B159" s="4" t="s">
        <v>180</v>
      </c>
      <c r="C159" s="4" t="s">
        <v>185</v>
      </c>
      <c r="D159" s="4">
        <v>4</v>
      </c>
      <c r="E159" s="4">
        <v>1945</v>
      </c>
      <c r="F159" s="4">
        <v>20088502</v>
      </c>
      <c r="G159" s="4">
        <v>3</v>
      </c>
      <c r="H159" s="4">
        <v>2</v>
      </c>
      <c r="I159" s="4" t="s">
        <v>18</v>
      </c>
      <c r="J159" s="4" t="s">
        <v>19</v>
      </c>
      <c r="K159" s="4" t="s">
        <v>24</v>
      </c>
      <c r="L159" s="9">
        <v>45189</v>
      </c>
      <c r="M159" s="9" t="str">
        <f>TEXT(Source_data[[#This Row],[Listing_Date]],"mmm-yy")</f>
        <v>Sep-23</v>
      </c>
      <c r="N159" s="4">
        <f t="shared" si="2"/>
        <v>10328.278663239074</v>
      </c>
      <c r="O159" s="3" cm="1">
        <f t="array" ref="O159">_xlfn.IFS(AND(K159="Broker",J159="Resale"),F159*0.5,AND(K159="Owner",J159="Resale"),F159*0,AND(K159="Builder",J159="Resale"),F159*0.3,AND(J159="New",K159="Broker"),F159*0.1,AND(J159="New",K159="Owner"),F159*0,AND(J159="New",K159="Builder"),F159*0.5)</f>
        <v>10044251</v>
      </c>
    </row>
    <row r="160" spans="1:15" x14ac:dyDescent="0.3">
      <c r="A160" s="8" t="s">
        <v>194</v>
      </c>
      <c r="B160" s="4" t="s">
        <v>180</v>
      </c>
      <c r="C160" s="4" t="s">
        <v>181</v>
      </c>
      <c r="D160" s="4">
        <v>3</v>
      </c>
      <c r="E160" s="4">
        <v>1346</v>
      </c>
      <c r="F160" s="4">
        <v>14766649</v>
      </c>
      <c r="G160" s="4">
        <v>2</v>
      </c>
      <c r="H160" s="4">
        <v>2</v>
      </c>
      <c r="I160" s="4" t="s">
        <v>27</v>
      </c>
      <c r="J160" s="4" t="s">
        <v>19</v>
      </c>
      <c r="K160" s="4" t="s">
        <v>36</v>
      </c>
      <c r="L160" s="9">
        <v>45585</v>
      </c>
      <c r="M160" s="9" t="str">
        <f>TEXT(Source_data[[#This Row],[Listing_Date]],"mmm-yy")</f>
        <v>Oct-24</v>
      </c>
      <c r="N160" s="4">
        <f t="shared" si="2"/>
        <v>10970.764487369985</v>
      </c>
      <c r="O160" s="3" cm="1">
        <f t="array" ref="O160">_xlfn.IFS(AND(K160="Broker",J160="Resale"),F160*0.5,AND(K160="Owner",J160="Resale"),F160*0,AND(K160="Builder",J160="Resale"),F160*0.3,AND(J160="New",K160="Broker"),F160*0.1,AND(J160="New",K160="Owner"),F160*0,AND(J160="New",K160="Builder"),F160*0.5)</f>
        <v>0</v>
      </c>
    </row>
    <row r="161" spans="1:15" x14ac:dyDescent="0.3">
      <c r="A161" s="8" t="s">
        <v>195</v>
      </c>
      <c r="B161" s="4" t="s">
        <v>180</v>
      </c>
      <c r="C161" s="4" t="s">
        <v>185</v>
      </c>
      <c r="D161" s="4">
        <v>3</v>
      </c>
      <c r="E161" s="4">
        <v>777</v>
      </c>
      <c r="F161" s="4">
        <v>8742833</v>
      </c>
      <c r="G161" s="4">
        <v>3</v>
      </c>
      <c r="H161" s="4">
        <v>0</v>
      </c>
      <c r="I161" s="4" t="s">
        <v>27</v>
      </c>
      <c r="J161" s="4" t="s">
        <v>19</v>
      </c>
      <c r="K161" s="4" t="s">
        <v>36</v>
      </c>
      <c r="L161" s="9">
        <v>45419</v>
      </c>
      <c r="M161" s="9" t="str">
        <f>TEXT(Source_data[[#This Row],[Listing_Date]],"mmm-yy")</f>
        <v>May-24</v>
      </c>
      <c r="N161" s="4">
        <f t="shared" si="2"/>
        <v>11252.037323037322</v>
      </c>
      <c r="O161" s="3" cm="1">
        <f t="array" ref="O161">_xlfn.IFS(AND(K161="Broker",J161="Resale"),F161*0.5,AND(K161="Owner",J161="Resale"),F161*0,AND(K161="Builder",J161="Resale"),F161*0.3,AND(J161="New",K161="Broker"),F161*0.1,AND(J161="New",K161="Owner"),F161*0,AND(J161="New",K161="Builder"),F161*0.5)</f>
        <v>0</v>
      </c>
    </row>
    <row r="162" spans="1:15" x14ac:dyDescent="0.3">
      <c r="A162" s="8" t="s">
        <v>196</v>
      </c>
      <c r="B162" s="4" t="s">
        <v>180</v>
      </c>
      <c r="C162" s="4" t="s">
        <v>197</v>
      </c>
      <c r="D162" s="4">
        <v>1</v>
      </c>
      <c r="E162" s="4">
        <v>397</v>
      </c>
      <c r="F162" s="4">
        <v>4799844</v>
      </c>
      <c r="G162" s="4">
        <v>1</v>
      </c>
      <c r="H162" s="4">
        <v>2</v>
      </c>
      <c r="I162" s="4" t="s">
        <v>18</v>
      </c>
      <c r="J162" s="4" t="s">
        <v>19</v>
      </c>
      <c r="K162" s="4" t="s">
        <v>20</v>
      </c>
      <c r="L162" s="9">
        <v>44957</v>
      </c>
      <c r="M162" s="9" t="str">
        <f>TEXT(Source_data[[#This Row],[Listing_Date]],"mmm-yy")</f>
        <v>Jan-23</v>
      </c>
      <c r="N162" s="4">
        <f t="shared" si="2"/>
        <v>12090.287153652393</v>
      </c>
      <c r="O162" s="3" cm="1">
        <f t="array" ref="O162">_xlfn.IFS(AND(K162="Broker",J162="Resale"),F162*0.5,AND(K162="Owner",J162="Resale"),F162*0,AND(K162="Builder",J162="Resale"),F162*0.3,AND(J162="New",K162="Broker"),F162*0.1,AND(J162="New",K162="Owner"),F162*0,AND(J162="New",K162="Builder"),F162*0.5)</f>
        <v>479984.4</v>
      </c>
    </row>
    <row r="163" spans="1:15" x14ac:dyDescent="0.3">
      <c r="A163" s="8" t="s">
        <v>198</v>
      </c>
      <c r="B163" s="4" t="s">
        <v>180</v>
      </c>
      <c r="C163" s="4" t="s">
        <v>185</v>
      </c>
      <c r="D163" s="4">
        <v>3</v>
      </c>
      <c r="E163" s="4">
        <v>1615</v>
      </c>
      <c r="F163" s="4">
        <v>24348081</v>
      </c>
      <c r="G163" s="4">
        <v>2</v>
      </c>
      <c r="H163" s="4">
        <v>2</v>
      </c>
      <c r="I163" s="4" t="s">
        <v>18</v>
      </c>
      <c r="J163" s="4" t="s">
        <v>23</v>
      </c>
      <c r="K163" s="4" t="s">
        <v>24</v>
      </c>
      <c r="L163" s="9">
        <v>45113</v>
      </c>
      <c r="M163" s="9" t="str">
        <f>TEXT(Source_data[[#This Row],[Listing_Date]],"mmm-yy")</f>
        <v>Jul-23</v>
      </c>
      <c r="N163" s="4">
        <f t="shared" si="2"/>
        <v>15076.211145510835</v>
      </c>
      <c r="O163" s="3" cm="1">
        <f t="array" ref="O163">_xlfn.IFS(AND(K163="Broker",J163="Resale"),F163*0.5,AND(K163="Owner",J163="Resale"),F163*0,AND(K163="Builder",J163="Resale"),F163*0.3,AND(J163="New",K163="Broker"),F163*0.1,AND(J163="New",K163="Owner"),F163*0,AND(J163="New",K163="Builder"),F163*0.5)</f>
        <v>7304424.2999999998</v>
      </c>
    </row>
    <row r="164" spans="1:15" x14ac:dyDescent="0.3">
      <c r="A164" s="8" t="s">
        <v>199</v>
      </c>
      <c r="B164" s="4" t="s">
        <v>180</v>
      </c>
      <c r="C164" s="4" t="s">
        <v>187</v>
      </c>
      <c r="D164" s="4">
        <v>3</v>
      </c>
      <c r="E164" s="4">
        <v>1106</v>
      </c>
      <c r="F164" s="4">
        <v>15026498</v>
      </c>
      <c r="G164" s="4">
        <v>3</v>
      </c>
      <c r="H164" s="4">
        <v>2</v>
      </c>
      <c r="I164" s="4" t="s">
        <v>8</v>
      </c>
      <c r="J164" s="4" t="s">
        <v>19</v>
      </c>
      <c r="K164" s="4" t="s">
        <v>20</v>
      </c>
      <c r="L164" s="9">
        <v>45711</v>
      </c>
      <c r="M164" s="9" t="str">
        <f>TEXT(Source_data[[#This Row],[Listing_Date]],"mmm-yy")</f>
        <v>Feb-25</v>
      </c>
      <c r="N164" s="4">
        <f t="shared" si="2"/>
        <v>13586.345388788426</v>
      </c>
      <c r="O164" s="3" cm="1">
        <f t="array" ref="O164">_xlfn.IFS(AND(K164="Broker",J164="Resale"),F164*0.5,AND(K164="Owner",J164="Resale"),F164*0,AND(K164="Builder",J164="Resale"),F164*0.3,AND(J164="New",K164="Broker"),F164*0.1,AND(J164="New",K164="Owner"),F164*0,AND(J164="New",K164="Builder"),F164*0.5)</f>
        <v>1502649.8</v>
      </c>
    </row>
    <row r="165" spans="1:15" x14ac:dyDescent="0.3">
      <c r="A165" s="8" t="s">
        <v>200</v>
      </c>
      <c r="B165" s="4" t="s">
        <v>180</v>
      </c>
      <c r="C165" s="4" t="s">
        <v>183</v>
      </c>
      <c r="D165" s="4">
        <v>2</v>
      </c>
      <c r="E165" s="4">
        <v>950</v>
      </c>
      <c r="F165" s="4">
        <v>11703647</v>
      </c>
      <c r="G165" s="4">
        <v>1</v>
      </c>
      <c r="H165" s="4">
        <v>3</v>
      </c>
      <c r="I165" s="4" t="s">
        <v>8</v>
      </c>
      <c r="J165" s="4" t="s">
        <v>23</v>
      </c>
      <c r="K165" s="4" t="s">
        <v>24</v>
      </c>
      <c r="L165" s="9">
        <v>45440</v>
      </c>
      <c r="M165" s="9" t="str">
        <f>TEXT(Source_data[[#This Row],[Listing_Date]],"mmm-yy")</f>
        <v>May-24</v>
      </c>
      <c r="N165" s="4">
        <f t="shared" si="2"/>
        <v>12319.628421052632</v>
      </c>
      <c r="O165" s="3" cm="1">
        <f t="array" ref="O165">_xlfn.IFS(AND(K165="Broker",J165="Resale"),F165*0.5,AND(K165="Owner",J165="Resale"),F165*0,AND(K165="Builder",J165="Resale"),F165*0.3,AND(J165="New",K165="Broker"),F165*0.1,AND(J165="New",K165="Owner"),F165*0,AND(J165="New",K165="Builder"),F165*0.5)</f>
        <v>3511094.1</v>
      </c>
    </row>
    <row r="166" spans="1:15" x14ac:dyDescent="0.3">
      <c r="A166" s="8" t="s">
        <v>201</v>
      </c>
      <c r="B166" s="4" t="s">
        <v>180</v>
      </c>
      <c r="C166" s="4" t="s">
        <v>183</v>
      </c>
      <c r="D166" s="4">
        <v>2</v>
      </c>
      <c r="E166" s="4">
        <v>958</v>
      </c>
      <c r="F166" s="4">
        <v>9397757</v>
      </c>
      <c r="G166" s="4">
        <v>2</v>
      </c>
      <c r="H166" s="4">
        <v>2</v>
      </c>
      <c r="I166" s="4" t="s">
        <v>27</v>
      </c>
      <c r="J166" s="4" t="s">
        <v>19</v>
      </c>
      <c r="K166" s="4" t="s">
        <v>36</v>
      </c>
      <c r="L166" s="9">
        <v>45268</v>
      </c>
      <c r="M166" s="9" t="str">
        <f>TEXT(Source_data[[#This Row],[Listing_Date]],"mmm-yy")</f>
        <v>Dec-23</v>
      </c>
      <c r="N166" s="4">
        <f t="shared" si="2"/>
        <v>9809.7672233820467</v>
      </c>
      <c r="O166" s="3" cm="1">
        <f t="array" ref="O166">_xlfn.IFS(AND(K166="Broker",J166="Resale"),F166*0.5,AND(K166="Owner",J166="Resale"),F166*0,AND(K166="Builder",J166="Resale"),F166*0.3,AND(J166="New",K166="Broker"),F166*0.1,AND(J166="New",K166="Owner"),F166*0,AND(J166="New",K166="Builder"),F166*0.5)</f>
        <v>0</v>
      </c>
    </row>
    <row r="167" spans="1:15" x14ac:dyDescent="0.3">
      <c r="A167" s="8" t="s">
        <v>202</v>
      </c>
      <c r="B167" s="4" t="s">
        <v>180</v>
      </c>
      <c r="C167" s="4" t="s">
        <v>181</v>
      </c>
      <c r="D167" s="4">
        <v>3</v>
      </c>
      <c r="E167" s="4">
        <v>405</v>
      </c>
      <c r="F167" s="4">
        <v>4751157</v>
      </c>
      <c r="G167" s="4">
        <v>3</v>
      </c>
      <c r="H167" s="4">
        <v>1</v>
      </c>
      <c r="I167" s="4" t="s">
        <v>27</v>
      </c>
      <c r="J167" s="4" t="s">
        <v>23</v>
      </c>
      <c r="K167" s="4" t="s">
        <v>36</v>
      </c>
      <c r="L167" s="9">
        <v>45246</v>
      </c>
      <c r="M167" s="9" t="str">
        <f>TEXT(Source_data[[#This Row],[Listing_Date]],"mmm-yy")</f>
        <v>Nov-23</v>
      </c>
      <c r="N167" s="4">
        <f t="shared" si="2"/>
        <v>11731.251851851852</v>
      </c>
      <c r="O167" s="3" cm="1">
        <f t="array" ref="O167">_xlfn.IFS(AND(K167="Broker",J167="Resale"),F167*0.5,AND(K167="Owner",J167="Resale"),F167*0,AND(K167="Builder",J167="Resale"),F167*0.3,AND(J167="New",K167="Broker"),F167*0.1,AND(J167="New",K167="Owner"),F167*0,AND(J167="New",K167="Builder"),F167*0.5)</f>
        <v>0</v>
      </c>
    </row>
    <row r="168" spans="1:15" x14ac:dyDescent="0.3">
      <c r="A168" s="8" t="s">
        <v>203</v>
      </c>
      <c r="B168" s="4" t="s">
        <v>180</v>
      </c>
      <c r="C168" s="4" t="s">
        <v>183</v>
      </c>
      <c r="D168" s="4">
        <v>3</v>
      </c>
      <c r="E168" s="4">
        <v>1835</v>
      </c>
      <c r="F168" s="4">
        <v>20831273</v>
      </c>
      <c r="G168" s="4">
        <v>2</v>
      </c>
      <c r="H168" s="4">
        <v>3</v>
      </c>
      <c r="I168" s="4" t="s">
        <v>8</v>
      </c>
      <c r="J168" s="4" t="s">
        <v>19</v>
      </c>
      <c r="K168" s="4" t="s">
        <v>24</v>
      </c>
      <c r="L168" s="9">
        <v>45396</v>
      </c>
      <c r="M168" s="9" t="str">
        <f>TEXT(Source_data[[#This Row],[Listing_Date]],"mmm-yy")</f>
        <v>Apr-24</v>
      </c>
      <c r="N168" s="4">
        <f t="shared" si="2"/>
        <v>11352.192370572207</v>
      </c>
      <c r="O168" s="3" cm="1">
        <f t="array" ref="O168">_xlfn.IFS(AND(K168="Broker",J168="Resale"),F168*0.5,AND(K168="Owner",J168="Resale"),F168*0,AND(K168="Builder",J168="Resale"),F168*0.3,AND(J168="New",K168="Broker"),F168*0.1,AND(J168="New",K168="Owner"),F168*0,AND(J168="New",K168="Builder"),F168*0.5)</f>
        <v>10415636.5</v>
      </c>
    </row>
    <row r="169" spans="1:15" x14ac:dyDescent="0.3">
      <c r="A169" s="8" t="s">
        <v>204</v>
      </c>
      <c r="B169" s="4" t="s">
        <v>180</v>
      </c>
      <c r="C169" s="4" t="s">
        <v>181</v>
      </c>
      <c r="D169" s="4">
        <v>2</v>
      </c>
      <c r="E169" s="4">
        <v>1110</v>
      </c>
      <c r="F169" s="4">
        <v>13736545</v>
      </c>
      <c r="G169" s="4">
        <v>2</v>
      </c>
      <c r="H169" s="4">
        <v>2</v>
      </c>
      <c r="I169" s="4" t="s">
        <v>27</v>
      </c>
      <c r="J169" s="4" t="s">
        <v>19</v>
      </c>
      <c r="K169" s="4" t="s">
        <v>24</v>
      </c>
      <c r="L169" s="9">
        <v>44931</v>
      </c>
      <c r="M169" s="9" t="str">
        <f>TEXT(Source_data[[#This Row],[Listing_Date]],"mmm-yy")</f>
        <v>Jan-23</v>
      </c>
      <c r="N169" s="4">
        <f t="shared" si="2"/>
        <v>12375.265765765766</v>
      </c>
      <c r="O169" s="3" cm="1">
        <f t="array" ref="O169">_xlfn.IFS(AND(K169="Broker",J169="Resale"),F169*0.5,AND(K169="Owner",J169="Resale"),F169*0,AND(K169="Builder",J169="Resale"),F169*0.3,AND(J169="New",K169="Broker"),F169*0.1,AND(J169="New",K169="Owner"),F169*0,AND(J169="New",K169="Builder"),F169*0.5)</f>
        <v>6868272.5</v>
      </c>
    </row>
    <row r="170" spans="1:15" x14ac:dyDescent="0.3">
      <c r="A170" s="8" t="s">
        <v>205</v>
      </c>
      <c r="B170" s="4" t="s">
        <v>180</v>
      </c>
      <c r="C170" s="4" t="s">
        <v>192</v>
      </c>
      <c r="D170" s="4">
        <v>4</v>
      </c>
      <c r="E170" s="4">
        <v>2464</v>
      </c>
      <c r="F170" s="4">
        <v>25272630</v>
      </c>
      <c r="G170" s="4">
        <v>4</v>
      </c>
      <c r="H170" s="4">
        <v>3</v>
      </c>
      <c r="I170" s="4" t="s">
        <v>18</v>
      </c>
      <c r="J170" s="4" t="s">
        <v>23</v>
      </c>
      <c r="K170" s="4" t="s">
        <v>24</v>
      </c>
      <c r="L170" s="9">
        <v>44962</v>
      </c>
      <c r="M170" s="9" t="str">
        <f>TEXT(Source_data[[#This Row],[Listing_Date]],"mmm-yy")</f>
        <v>Feb-23</v>
      </c>
      <c r="N170" s="4">
        <f t="shared" si="2"/>
        <v>10256.749188311689</v>
      </c>
      <c r="O170" s="3" cm="1">
        <f t="array" ref="O170">_xlfn.IFS(AND(K170="Broker",J170="Resale"),F170*0.5,AND(K170="Owner",J170="Resale"),F170*0,AND(K170="Builder",J170="Resale"),F170*0.3,AND(J170="New",K170="Broker"),F170*0.1,AND(J170="New",K170="Owner"),F170*0,AND(J170="New",K170="Builder"),F170*0.5)</f>
        <v>7581789</v>
      </c>
    </row>
    <row r="171" spans="1:15" x14ac:dyDescent="0.3">
      <c r="A171" s="8" t="s">
        <v>206</v>
      </c>
      <c r="B171" s="4" t="s">
        <v>180</v>
      </c>
      <c r="C171" s="4" t="s">
        <v>192</v>
      </c>
      <c r="D171" s="4">
        <v>2</v>
      </c>
      <c r="E171" s="4">
        <v>1121</v>
      </c>
      <c r="F171" s="4">
        <v>10952529</v>
      </c>
      <c r="G171" s="4">
        <v>2</v>
      </c>
      <c r="H171" s="4">
        <v>2</v>
      </c>
      <c r="I171" s="4" t="s">
        <v>8</v>
      </c>
      <c r="J171" s="4" t="s">
        <v>19</v>
      </c>
      <c r="K171" s="4" t="s">
        <v>36</v>
      </c>
      <c r="L171" s="9">
        <v>45242</v>
      </c>
      <c r="M171" s="9" t="str">
        <f>TEXT(Source_data[[#This Row],[Listing_Date]],"mmm-yy")</f>
        <v>Nov-23</v>
      </c>
      <c r="N171" s="4">
        <f t="shared" si="2"/>
        <v>9770.3202497769853</v>
      </c>
      <c r="O171" s="3" cm="1">
        <f t="array" ref="O171">_xlfn.IFS(AND(K171="Broker",J171="Resale"),F171*0.5,AND(K171="Owner",J171="Resale"),F171*0,AND(K171="Builder",J171="Resale"),F171*0.3,AND(J171="New",K171="Broker"),F171*0.1,AND(J171="New",K171="Owner"),F171*0,AND(J171="New",K171="Builder"),F171*0.5)</f>
        <v>0</v>
      </c>
    </row>
    <row r="172" spans="1:15" x14ac:dyDescent="0.3">
      <c r="A172" s="8" t="s">
        <v>207</v>
      </c>
      <c r="B172" s="4" t="s">
        <v>180</v>
      </c>
      <c r="C172" s="4" t="s">
        <v>185</v>
      </c>
      <c r="D172" s="4">
        <v>3</v>
      </c>
      <c r="E172" s="4">
        <v>911</v>
      </c>
      <c r="F172" s="4">
        <v>7752953</v>
      </c>
      <c r="G172" s="4">
        <v>3</v>
      </c>
      <c r="H172" s="4">
        <v>1</v>
      </c>
      <c r="I172" s="4" t="s">
        <v>18</v>
      </c>
      <c r="J172" s="4" t="s">
        <v>19</v>
      </c>
      <c r="K172" s="4" t="s">
        <v>24</v>
      </c>
      <c r="L172" s="9">
        <v>45644</v>
      </c>
      <c r="M172" s="9" t="str">
        <f>TEXT(Source_data[[#This Row],[Listing_Date]],"mmm-yy")</f>
        <v>Dec-24</v>
      </c>
      <c r="N172" s="4">
        <f t="shared" si="2"/>
        <v>8510.3765093304064</v>
      </c>
      <c r="O172" s="3" cm="1">
        <f t="array" ref="O172">_xlfn.IFS(AND(K172="Broker",J172="Resale"),F172*0.5,AND(K172="Owner",J172="Resale"),F172*0,AND(K172="Builder",J172="Resale"),F172*0.3,AND(J172="New",K172="Broker"),F172*0.1,AND(J172="New",K172="Owner"),F172*0,AND(J172="New",K172="Builder"),F172*0.5)</f>
        <v>3876476.5</v>
      </c>
    </row>
    <row r="173" spans="1:15" x14ac:dyDescent="0.3">
      <c r="A173" s="8" t="s">
        <v>208</v>
      </c>
      <c r="B173" s="4" t="s">
        <v>180</v>
      </c>
      <c r="C173" s="4" t="s">
        <v>181</v>
      </c>
      <c r="D173" s="4">
        <v>2</v>
      </c>
      <c r="E173" s="4">
        <v>1304</v>
      </c>
      <c r="F173" s="4">
        <v>11995696</v>
      </c>
      <c r="G173" s="4">
        <v>2</v>
      </c>
      <c r="H173" s="4">
        <v>1</v>
      </c>
      <c r="I173" s="4" t="s">
        <v>8</v>
      </c>
      <c r="J173" s="4" t="s">
        <v>19</v>
      </c>
      <c r="K173" s="4" t="s">
        <v>20</v>
      </c>
      <c r="L173" s="9">
        <v>45838</v>
      </c>
      <c r="M173" s="9" t="str">
        <f>TEXT(Source_data[[#This Row],[Listing_Date]],"mmm-yy")</f>
        <v>Jun-25</v>
      </c>
      <c r="N173" s="4">
        <f t="shared" si="2"/>
        <v>9199.1533742331285</v>
      </c>
      <c r="O173" s="3" cm="1">
        <f t="array" ref="O173">_xlfn.IFS(AND(K173="Broker",J173="Resale"),F173*0.5,AND(K173="Owner",J173="Resale"),F173*0,AND(K173="Builder",J173="Resale"),F173*0.3,AND(J173="New",K173="Broker"),F173*0.1,AND(J173="New",K173="Owner"),F173*0,AND(J173="New",K173="Builder"),F173*0.5)</f>
        <v>1199569.6000000001</v>
      </c>
    </row>
    <row r="174" spans="1:15" x14ac:dyDescent="0.3">
      <c r="A174" s="8" t="s">
        <v>209</v>
      </c>
      <c r="B174" s="4" t="s">
        <v>180</v>
      </c>
      <c r="C174" s="4" t="s">
        <v>192</v>
      </c>
      <c r="D174" s="4">
        <v>3</v>
      </c>
      <c r="E174" s="4">
        <v>1583</v>
      </c>
      <c r="F174" s="4">
        <v>17689261</v>
      </c>
      <c r="G174" s="4">
        <v>3</v>
      </c>
      <c r="H174" s="4">
        <v>3</v>
      </c>
      <c r="I174" s="4" t="s">
        <v>27</v>
      </c>
      <c r="J174" s="4" t="s">
        <v>19</v>
      </c>
      <c r="K174" s="4" t="s">
        <v>20</v>
      </c>
      <c r="L174" s="9">
        <v>45202</v>
      </c>
      <c r="M174" s="9" t="str">
        <f>TEXT(Source_data[[#This Row],[Listing_Date]],"mmm-yy")</f>
        <v>Oct-23</v>
      </c>
      <c r="N174" s="4">
        <f t="shared" si="2"/>
        <v>11174.517372078331</v>
      </c>
      <c r="O174" s="3" cm="1">
        <f t="array" ref="O174">_xlfn.IFS(AND(K174="Broker",J174="Resale"),F174*0.5,AND(K174="Owner",J174="Resale"),F174*0,AND(K174="Builder",J174="Resale"),F174*0.3,AND(J174="New",K174="Broker"),F174*0.1,AND(J174="New",K174="Owner"),F174*0,AND(J174="New",K174="Builder"),F174*0.5)</f>
        <v>1768926.1</v>
      </c>
    </row>
    <row r="175" spans="1:15" x14ac:dyDescent="0.3">
      <c r="A175" s="8" t="s">
        <v>210</v>
      </c>
      <c r="B175" s="4" t="s">
        <v>180</v>
      </c>
      <c r="C175" s="4" t="s">
        <v>181</v>
      </c>
      <c r="D175" s="4">
        <v>1</v>
      </c>
      <c r="E175" s="4">
        <v>903</v>
      </c>
      <c r="F175" s="4">
        <v>10034628</v>
      </c>
      <c r="G175" s="4">
        <v>1</v>
      </c>
      <c r="H175" s="4">
        <v>1</v>
      </c>
      <c r="I175" s="4" t="s">
        <v>67</v>
      </c>
      <c r="J175" s="4" t="s">
        <v>19</v>
      </c>
      <c r="K175" s="4" t="s">
        <v>24</v>
      </c>
      <c r="L175" s="9">
        <v>45620</v>
      </c>
      <c r="M175" s="9" t="str">
        <f>TEXT(Source_data[[#This Row],[Listing_Date]],"mmm-yy")</f>
        <v>Nov-24</v>
      </c>
      <c r="N175" s="4">
        <f t="shared" si="2"/>
        <v>11112.54485049834</v>
      </c>
      <c r="O175" s="3" cm="1">
        <f t="array" ref="O175">_xlfn.IFS(AND(K175="Broker",J175="Resale"),F175*0.5,AND(K175="Owner",J175="Resale"),F175*0,AND(K175="Builder",J175="Resale"),F175*0.3,AND(J175="New",K175="Broker"),F175*0.1,AND(J175="New",K175="Owner"),F175*0,AND(J175="New",K175="Builder"),F175*0.5)</f>
        <v>5017314</v>
      </c>
    </row>
    <row r="176" spans="1:15" x14ac:dyDescent="0.3">
      <c r="A176" s="8" t="s">
        <v>211</v>
      </c>
      <c r="B176" s="4" t="s">
        <v>180</v>
      </c>
      <c r="C176" s="4" t="s">
        <v>192</v>
      </c>
      <c r="D176" s="4">
        <v>2</v>
      </c>
      <c r="E176" s="4">
        <v>993</v>
      </c>
      <c r="F176" s="4">
        <v>12911857</v>
      </c>
      <c r="G176" s="4">
        <v>1</v>
      </c>
      <c r="H176" s="4">
        <v>3</v>
      </c>
      <c r="I176" s="4" t="s">
        <v>27</v>
      </c>
      <c r="J176" s="4" t="s">
        <v>23</v>
      </c>
      <c r="K176" s="4" t="s">
        <v>20</v>
      </c>
      <c r="L176" s="9">
        <v>45065</v>
      </c>
      <c r="M176" s="9" t="str">
        <f>TEXT(Source_data[[#This Row],[Listing_Date]],"mmm-yy")</f>
        <v>May-23</v>
      </c>
      <c r="N176" s="4">
        <f t="shared" si="2"/>
        <v>13002.877139979859</v>
      </c>
      <c r="O176" s="3" cm="1">
        <f t="array" ref="O176">_xlfn.IFS(AND(K176="Broker",J176="Resale"),F176*0.5,AND(K176="Owner",J176="Resale"),F176*0,AND(K176="Builder",J176="Resale"),F176*0.3,AND(J176="New",K176="Broker"),F176*0.1,AND(J176="New",K176="Owner"),F176*0,AND(J176="New",K176="Builder"),F176*0.5)</f>
        <v>6455928.5</v>
      </c>
    </row>
    <row r="177" spans="1:15" x14ac:dyDescent="0.3">
      <c r="A177" s="8" t="s">
        <v>212</v>
      </c>
      <c r="B177" s="4" t="s">
        <v>180</v>
      </c>
      <c r="C177" s="4" t="s">
        <v>185</v>
      </c>
      <c r="D177" s="4">
        <v>3</v>
      </c>
      <c r="E177" s="4">
        <v>1314</v>
      </c>
      <c r="F177" s="4">
        <v>15564176</v>
      </c>
      <c r="G177" s="4">
        <v>4</v>
      </c>
      <c r="H177" s="4">
        <v>0</v>
      </c>
      <c r="I177" s="4" t="s">
        <v>8</v>
      </c>
      <c r="J177" s="4" t="s">
        <v>19</v>
      </c>
      <c r="K177" s="4" t="s">
        <v>36</v>
      </c>
      <c r="L177" s="9">
        <v>45573</v>
      </c>
      <c r="M177" s="9" t="str">
        <f>TEXT(Source_data[[#This Row],[Listing_Date]],"mmm-yy")</f>
        <v>Oct-24</v>
      </c>
      <c r="N177" s="4">
        <f t="shared" si="2"/>
        <v>11844.882800608828</v>
      </c>
      <c r="O177" s="3" cm="1">
        <f t="array" ref="O177">_xlfn.IFS(AND(K177="Broker",J177="Resale"),F177*0.5,AND(K177="Owner",J177="Resale"),F177*0,AND(K177="Builder",J177="Resale"),F177*0.3,AND(J177="New",K177="Broker"),F177*0.1,AND(J177="New",K177="Owner"),F177*0,AND(J177="New",K177="Builder"),F177*0.5)</f>
        <v>0</v>
      </c>
    </row>
    <row r="178" spans="1:15" x14ac:dyDescent="0.3">
      <c r="A178" s="8" t="s">
        <v>213</v>
      </c>
      <c r="B178" s="4" t="s">
        <v>180</v>
      </c>
      <c r="C178" s="4" t="s">
        <v>187</v>
      </c>
      <c r="D178" s="4">
        <v>1</v>
      </c>
      <c r="E178" s="4">
        <v>535</v>
      </c>
      <c r="F178" s="4">
        <v>4939296</v>
      </c>
      <c r="G178" s="4">
        <v>2</v>
      </c>
      <c r="H178" s="4">
        <v>3</v>
      </c>
      <c r="I178" s="4" t="s">
        <v>27</v>
      </c>
      <c r="J178" s="4" t="s">
        <v>19</v>
      </c>
      <c r="K178" s="4" t="s">
        <v>20</v>
      </c>
      <c r="L178" s="9">
        <v>45799</v>
      </c>
      <c r="M178" s="9" t="str">
        <f>TEXT(Source_data[[#This Row],[Listing_Date]],"mmm-yy")</f>
        <v>May-25</v>
      </c>
      <c r="N178" s="4">
        <f t="shared" si="2"/>
        <v>9232.3289719626173</v>
      </c>
      <c r="O178" s="3" cm="1">
        <f t="array" ref="O178">_xlfn.IFS(AND(K178="Broker",J178="Resale"),F178*0.5,AND(K178="Owner",J178="Resale"),F178*0,AND(K178="Builder",J178="Resale"),F178*0.3,AND(J178="New",K178="Broker"),F178*0.1,AND(J178="New",K178="Owner"),F178*0,AND(J178="New",K178="Builder"),F178*0.5)</f>
        <v>493929.60000000003</v>
      </c>
    </row>
    <row r="179" spans="1:15" x14ac:dyDescent="0.3">
      <c r="A179" s="8" t="s">
        <v>214</v>
      </c>
      <c r="B179" s="4" t="s">
        <v>180</v>
      </c>
      <c r="C179" s="4" t="s">
        <v>181</v>
      </c>
      <c r="D179" s="4">
        <v>3</v>
      </c>
      <c r="E179" s="4">
        <v>889</v>
      </c>
      <c r="F179" s="4">
        <v>14894536</v>
      </c>
      <c r="G179" s="4">
        <v>3</v>
      </c>
      <c r="H179" s="4">
        <v>1</v>
      </c>
      <c r="I179" s="4" t="s">
        <v>8</v>
      </c>
      <c r="J179" s="4" t="s">
        <v>23</v>
      </c>
      <c r="K179" s="4" t="s">
        <v>36</v>
      </c>
      <c r="L179" s="9">
        <v>44942</v>
      </c>
      <c r="M179" s="9" t="str">
        <f>TEXT(Source_data[[#This Row],[Listing_Date]],"mmm-yy")</f>
        <v>Jan-23</v>
      </c>
      <c r="N179" s="4">
        <f t="shared" si="2"/>
        <v>16754.258717660294</v>
      </c>
      <c r="O179" s="3" cm="1">
        <f t="array" ref="O179">_xlfn.IFS(AND(K179="Broker",J179="Resale"),F179*0.5,AND(K179="Owner",J179="Resale"),F179*0,AND(K179="Builder",J179="Resale"),F179*0.3,AND(J179="New",K179="Broker"),F179*0.1,AND(J179="New",K179="Owner"),F179*0,AND(J179="New",K179="Builder"),F179*0.5)</f>
        <v>0</v>
      </c>
    </row>
    <row r="180" spans="1:15" x14ac:dyDescent="0.3">
      <c r="A180" s="8" t="s">
        <v>215</v>
      </c>
      <c r="B180" s="4" t="s">
        <v>180</v>
      </c>
      <c r="C180" s="4" t="s">
        <v>185</v>
      </c>
      <c r="D180" s="4">
        <v>3</v>
      </c>
      <c r="E180" s="4">
        <v>1383</v>
      </c>
      <c r="F180" s="4">
        <v>13828087</v>
      </c>
      <c r="G180" s="4">
        <v>4</v>
      </c>
      <c r="H180" s="4">
        <v>0</v>
      </c>
      <c r="I180" s="4" t="s">
        <v>27</v>
      </c>
      <c r="J180" s="4" t="s">
        <v>19</v>
      </c>
      <c r="K180" s="4" t="s">
        <v>24</v>
      </c>
      <c r="L180" s="9">
        <v>45773</v>
      </c>
      <c r="M180" s="9" t="str">
        <f>TEXT(Source_data[[#This Row],[Listing_Date]],"mmm-yy")</f>
        <v>Apr-25</v>
      </c>
      <c r="N180" s="4">
        <f t="shared" si="2"/>
        <v>9998.6167751265366</v>
      </c>
      <c r="O180" s="3" cm="1">
        <f t="array" ref="O180">_xlfn.IFS(AND(K180="Broker",J180="Resale"),F180*0.5,AND(K180="Owner",J180="Resale"),F180*0,AND(K180="Builder",J180="Resale"),F180*0.3,AND(J180="New",K180="Broker"),F180*0.1,AND(J180="New",K180="Owner"),F180*0,AND(J180="New",K180="Builder"),F180*0.5)</f>
        <v>6914043.5</v>
      </c>
    </row>
    <row r="181" spans="1:15" x14ac:dyDescent="0.3">
      <c r="A181" s="8" t="s">
        <v>216</v>
      </c>
      <c r="B181" s="4" t="s">
        <v>180</v>
      </c>
      <c r="C181" s="4" t="s">
        <v>185</v>
      </c>
      <c r="D181" s="4">
        <v>3</v>
      </c>
      <c r="E181" s="4">
        <v>1542</v>
      </c>
      <c r="F181" s="4">
        <v>20235949</v>
      </c>
      <c r="G181" s="4">
        <v>4</v>
      </c>
      <c r="H181" s="4">
        <v>1</v>
      </c>
      <c r="I181" s="4" t="s">
        <v>18</v>
      </c>
      <c r="J181" s="4" t="s">
        <v>19</v>
      </c>
      <c r="K181" s="4" t="s">
        <v>24</v>
      </c>
      <c r="L181" s="9">
        <v>45173</v>
      </c>
      <c r="M181" s="9" t="str">
        <f>TEXT(Source_data[[#This Row],[Listing_Date]],"mmm-yy")</f>
        <v>Sep-23</v>
      </c>
      <c r="N181" s="4">
        <f t="shared" si="2"/>
        <v>13123.183527885862</v>
      </c>
      <c r="O181" s="3" cm="1">
        <f t="array" ref="O181">_xlfn.IFS(AND(K181="Broker",J181="Resale"),F181*0.5,AND(K181="Owner",J181="Resale"),F181*0,AND(K181="Builder",J181="Resale"),F181*0.3,AND(J181="New",K181="Broker"),F181*0.1,AND(J181="New",K181="Owner"),F181*0,AND(J181="New",K181="Builder"),F181*0.5)</f>
        <v>10117974.5</v>
      </c>
    </row>
    <row r="182" spans="1:15" x14ac:dyDescent="0.3">
      <c r="A182" s="8" t="s">
        <v>217</v>
      </c>
      <c r="B182" s="4" t="s">
        <v>180</v>
      </c>
      <c r="C182" s="4" t="s">
        <v>197</v>
      </c>
      <c r="D182" s="4">
        <v>1</v>
      </c>
      <c r="E182" s="4">
        <v>760</v>
      </c>
      <c r="F182" s="4">
        <v>9852176</v>
      </c>
      <c r="G182" s="4">
        <v>1</v>
      </c>
      <c r="H182" s="4">
        <v>2</v>
      </c>
      <c r="I182" s="4" t="s">
        <v>27</v>
      </c>
      <c r="J182" s="4" t="s">
        <v>23</v>
      </c>
      <c r="K182" s="4" t="s">
        <v>36</v>
      </c>
      <c r="L182" s="9">
        <v>45196</v>
      </c>
      <c r="M182" s="9" t="str">
        <f>TEXT(Source_data[[#This Row],[Listing_Date]],"mmm-yy")</f>
        <v>Sep-23</v>
      </c>
      <c r="N182" s="4">
        <f t="shared" si="2"/>
        <v>12963.38947368421</v>
      </c>
      <c r="O182" s="3" cm="1">
        <f t="array" ref="O182">_xlfn.IFS(AND(K182="Broker",J182="Resale"),F182*0.5,AND(K182="Owner",J182="Resale"),F182*0,AND(K182="Builder",J182="Resale"),F182*0.3,AND(J182="New",K182="Broker"),F182*0.1,AND(J182="New",K182="Owner"),F182*0,AND(J182="New",K182="Builder"),F182*0.5)</f>
        <v>0</v>
      </c>
    </row>
    <row r="183" spans="1:15" x14ac:dyDescent="0.3">
      <c r="A183" s="8" t="s">
        <v>218</v>
      </c>
      <c r="B183" s="4" t="s">
        <v>180</v>
      </c>
      <c r="C183" s="4" t="s">
        <v>192</v>
      </c>
      <c r="D183" s="4">
        <v>4</v>
      </c>
      <c r="E183" s="4">
        <v>1673</v>
      </c>
      <c r="F183" s="4">
        <v>17444417</v>
      </c>
      <c r="G183" s="4">
        <v>2</v>
      </c>
      <c r="H183" s="4">
        <v>2</v>
      </c>
      <c r="I183" s="4" t="s">
        <v>8</v>
      </c>
      <c r="J183" s="4" t="s">
        <v>23</v>
      </c>
      <c r="K183" s="4" t="s">
        <v>24</v>
      </c>
      <c r="L183" s="9">
        <v>45056</v>
      </c>
      <c r="M183" s="9" t="str">
        <f>TEXT(Source_data[[#This Row],[Listing_Date]],"mmm-yy")</f>
        <v>May-23</v>
      </c>
      <c r="N183" s="4">
        <f t="shared" si="2"/>
        <v>10427.027495517035</v>
      </c>
      <c r="O183" s="3" cm="1">
        <f t="array" ref="O183">_xlfn.IFS(AND(K183="Broker",J183="Resale"),F183*0.5,AND(K183="Owner",J183="Resale"),F183*0,AND(K183="Builder",J183="Resale"),F183*0.3,AND(J183="New",K183="Broker"),F183*0.1,AND(J183="New",K183="Owner"),F183*0,AND(J183="New",K183="Builder"),F183*0.5)</f>
        <v>5233325.0999999996</v>
      </c>
    </row>
    <row r="184" spans="1:15" x14ac:dyDescent="0.3">
      <c r="A184" s="8" t="s">
        <v>219</v>
      </c>
      <c r="B184" s="4" t="s">
        <v>180</v>
      </c>
      <c r="C184" s="4" t="s">
        <v>187</v>
      </c>
      <c r="D184" s="4">
        <v>2</v>
      </c>
      <c r="E184" s="4">
        <v>987</v>
      </c>
      <c r="F184" s="4">
        <v>10019436</v>
      </c>
      <c r="G184" s="4">
        <v>2</v>
      </c>
      <c r="H184" s="4">
        <v>1</v>
      </c>
      <c r="I184" s="4" t="s">
        <v>27</v>
      </c>
      <c r="J184" s="4" t="s">
        <v>23</v>
      </c>
      <c r="K184" s="4" t="s">
        <v>20</v>
      </c>
      <c r="L184" s="9">
        <v>45231</v>
      </c>
      <c r="M184" s="9" t="str">
        <f>TEXT(Source_data[[#This Row],[Listing_Date]],"mmm-yy")</f>
        <v>Nov-23</v>
      </c>
      <c r="N184" s="4">
        <f t="shared" si="2"/>
        <v>10151.404255319148</v>
      </c>
      <c r="O184" s="3" cm="1">
        <f t="array" ref="O184">_xlfn.IFS(AND(K184="Broker",J184="Resale"),F184*0.5,AND(K184="Owner",J184="Resale"),F184*0,AND(K184="Builder",J184="Resale"),F184*0.3,AND(J184="New",K184="Broker"),F184*0.1,AND(J184="New",K184="Owner"),F184*0,AND(J184="New",K184="Builder"),F184*0.5)</f>
        <v>5009718</v>
      </c>
    </row>
    <row r="185" spans="1:15" x14ac:dyDescent="0.3">
      <c r="A185" s="8" t="s">
        <v>220</v>
      </c>
      <c r="B185" s="4" t="s">
        <v>180</v>
      </c>
      <c r="C185" s="4" t="s">
        <v>197</v>
      </c>
      <c r="D185" s="4">
        <v>2</v>
      </c>
      <c r="E185" s="4">
        <v>980</v>
      </c>
      <c r="F185" s="4">
        <v>9583429</v>
      </c>
      <c r="G185" s="4">
        <v>2</v>
      </c>
      <c r="H185" s="4">
        <v>2</v>
      </c>
      <c r="I185" s="4" t="s">
        <v>18</v>
      </c>
      <c r="J185" s="4" t="s">
        <v>19</v>
      </c>
      <c r="K185" s="4" t="s">
        <v>24</v>
      </c>
      <c r="L185" s="9">
        <v>45659</v>
      </c>
      <c r="M185" s="9" t="str">
        <f>TEXT(Source_data[[#This Row],[Listing_Date]],"mmm-yy")</f>
        <v>Jan-25</v>
      </c>
      <c r="N185" s="4">
        <f t="shared" si="2"/>
        <v>9779.00918367347</v>
      </c>
      <c r="O185" s="3" cm="1">
        <f t="array" ref="O185">_xlfn.IFS(AND(K185="Broker",J185="Resale"),F185*0.5,AND(K185="Owner",J185="Resale"),F185*0,AND(K185="Builder",J185="Resale"),F185*0.3,AND(J185="New",K185="Broker"),F185*0.1,AND(J185="New",K185="Owner"),F185*0,AND(J185="New",K185="Builder"),F185*0.5)</f>
        <v>4791714.5</v>
      </c>
    </row>
    <row r="186" spans="1:15" x14ac:dyDescent="0.3">
      <c r="A186" s="8" t="s">
        <v>221</v>
      </c>
      <c r="B186" s="4" t="s">
        <v>180</v>
      </c>
      <c r="C186" s="4" t="s">
        <v>185</v>
      </c>
      <c r="D186" s="4">
        <v>5</v>
      </c>
      <c r="E186" s="4">
        <v>2452</v>
      </c>
      <c r="F186" s="4">
        <v>30580569</v>
      </c>
      <c r="G186" s="4">
        <v>3</v>
      </c>
      <c r="H186" s="4">
        <v>3</v>
      </c>
      <c r="I186" s="4" t="s">
        <v>27</v>
      </c>
      <c r="J186" s="4" t="s">
        <v>23</v>
      </c>
      <c r="K186" s="4" t="s">
        <v>36</v>
      </c>
      <c r="L186" s="9">
        <v>45090</v>
      </c>
      <c r="M186" s="9" t="str">
        <f>TEXT(Source_data[[#This Row],[Listing_Date]],"mmm-yy")</f>
        <v>Jun-23</v>
      </c>
      <c r="N186" s="4">
        <f t="shared" si="2"/>
        <v>12471.683931484502</v>
      </c>
      <c r="O186" s="3" cm="1">
        <f t="array" ref="O186">_xlfn.IFS(AND(K186="Broker",J186="Resale"),F186*0.5,AND(K186="Owner",J186="Resale"),F186*0,AND(K186="Builder",J186="Resale"),F186*0.3,AND(J186="New",K186="Broker"),F186*0.1,AND(J186="New",K186="Owner"),F186*0,AND(J186="New",K186="Builder"),F186*0.5)</f>
        <v>0</v>
      </c>
    </row>
    <row r="187" spans="1:15" x14ac:dyDescent="0.3">
      <c r="A187" s="8" t="s">
        <v>222</v>
      </c>
      <c r="B187" s="4" t="s">
        <v>180</v>
      </c>
      <c r="C187" s="4" t="s">
        <v>192</v>
      </c>
      <c r="D187" s="4">
        <v>2</v>
      </c>
      <c r="E187" s="4">
        <v>1305</v>
      </c>
      <c r="F187" s="4">
        <v>20839478</v>
      </c>
      <c r="G187" s="4">
        <v>2</v>
      </c>
      <c r="H187" s="4">
        <v>2</v>
      </c>
      <c r="I187" s="4" t="s">
        <v>8</v>
      </c>
      <c r="J187" s="4" t="s">
        <v>19</v>
      </c>
      <c r="K187" s="4" t="s">
        <v>20</v>
      </c>
      <c r="L187" s="9">
        <v>44971</v>
      </c>
      <c r="M187" s="9" t="str">
        <f>TEXT(Source_data[[#This Row],[Listing_Date]],"mmm-yy")</f>
        <v>Feb-23</v>
      </c>
      <c r="N187" s="4">
        <f t="shared" si="2"/>
        <v>15968.948659003832</v>
      </c>
      <c r="O187" s="3" cm="1">
        <f t="array" ref="O187">_xlfn.IFS(AND(K187="Broker",J187="Resale"),F187*0.5,AND(K187="Owner",J187="Resale"),F187*0,AND(K187="Builder",J187="Resale"),F187*0.3,AND(J187="New",K187="Broker"),F187*0.1,AND(J187="New",K187="Owner"),F187*0,AND(J187="New",K187="Builder"),F187*0.5)</f>
        <v>2083947.8</v>
      </c>
    </row>
    <row r="188" spans="1:15" x14ac:dyDescent="0.3">
      <c r="A188" s="8" t="s">
        <v>223</v>
      </c>
      <c r="B188" s="4" t="s">
        <v>180</v>
      </c>
      <c r="C188" s="4" t="s">
        <v>185</v>
      </c>
      <c r="D188" s="4">
        <v>4</v>
      </c>
      <c r="E188" s="4">
        <v>1696</v>
      </c>
      <c r="F188" s="4">
        <v>12614119</v>
      </c>
      <c r="G188" s="4">
        <v>3</v>
      </c>
      <c r="H188" s="4">
        <v>0</v>
      </c>
      <c r="I188" s="4" t="s">
        <v>18</v>
      </c>
      <c r="J188" s="4" t="s">
        <v>19</v>
      </c>
      <c r="K188" s="4" t="s">
        <v>20</v>
      </c>
      <c r="L188" s="9">
        <v>45271</v>
      </c>
      <c r="M188" s="9" t="str">
        <f>TEXT(Source_data[[#This Row],[Listing_Date]],"mmm-yy")</f>
        <v>Dec-23</v>
      </c>
      <c r="N188" s="4">
        <f t="shared" si="2"/>
        <v>7437.5701650943392</v>
      </c>
      <c r="O188" s="3" cm="1">
        <f t="array" ref="O188">_xlfn.IFS(AND(K188="Broker",J188="Resale"),F188*0.5,AND(K188="Owner",J188="Resale"),F188*0,AND(K188="Builder",J188="Resale"),F188*0.3,AND(J188="New",K188="Broker"),F188*0.1,AND(J188="New",K188="Owner"),F188*0,AND(J188="New",K188="Builder"),F188*0.5)</f>
        <v>1261411.9000000001</v>
      </c>
    </row>
    <row r="189" spans="1:15" x14ac:dyDescent="0.3">
      <c r="A189" s="8" t="s">
        <v>224</v>
      </c>
      <c r="B189" s="4" t="s">
        <v>180</v>
      </c>
      <c r="C189" s="4" t="s">
        <v>185</v>
      </c>
      <c r="D189" s="4">
        <v>5</v>
      </c>
      <c r="E189" s="4">
        <v>1129</v>
      </c>
      <c r="F189" s="4">
        <v>10356007</v>
      </c>
      <c r="G189" s="4">
        <v>4</v>
      </c>
      <c r="H189" s="4">
        <v>1</v>
      </c>
      <c r="I189" s="4" t="s">
        <v>27</v>
      </c>
      <c r="J189" s="4" t="s">
        <v>23</v>
      </c>
      <c r="K189" s="4" t="s">
        <v>36</v>
      </c>
      <c r="L189" s="9">
        <v>45143</v>
      </c>
      <c r="M189" s="9" t="str">
        <f>TEXT(Source_data[[#This Row],[Listing_Date]],"mmm-yy")</f>
        <v>Aug-23</v>
      </c>
      <c r="N189" s="4">
        <f t="shared" si="2"/>
        <v>9172.7254207263068</v>
      </c>
      <c r="O189" s="3" cm="1">
        <f t="array" ref="O189">_xlfn.IFS(AND(K189="Broker",J189="Resale"),F189*0.5,AND(K189="Owner",J189="Resale"),F189*0,AND(K189="Builder",J189="Resale"),F189*0.3,AND(J189="New",K189="Broker"),F189*0.1,AND(J189="New",K189="Owner"),F189*0,AND(J189="New",K189="Builder"),F189*0.5)</f>
        <v>0</v>
      </c>
    </row>
    <row r="190" spans="1:15" x14ac:dyDescent="0.3">
      <c r="A190" s="8" t="s">
        <v>225</v>
      </c>
      <c r="B190" s="4" t="s">
        <v>180</v>
      </c>
      <c r="C190" s="4" t="s">
        <v>183</v>
      </c>
      <c r="D190" s="4">
        <v>3</v>
      </c>
      <c r="E190" s="4">
        <v>780</v>
      </c>
      <c r="F190" s="4">
        <v>9717514</v>
      </c>
      <c r="G190" s="4">
        <v>3</v>
      </c>
      <c r="H190" s="4">
        <v>1</v>
      </c>
      <c r="I190" s="4" t="s">
        <v>27</v>
      </c>
      <c r="J190" s="4" t="s">
        <v>19</v>
      </c>
      <c r="K190" s="4" t="s">
        <v>20</v>
      </c>
      <c r="L190" s="9">
        <v>45302</v>
      </c>
      <c r="M190" s="9" t="str">
        <f>TEXT(Source_data[[#This Row],[Listing_Date]],"mmm-yy")</f>
        <v>Jan-24</v>
      </c>
      <c r="N190" s="4">
        <f t="shared" si="2"/>
        <v>12458.351282051282</v>
      </c>
      <c r="O190" s="3" cm="1">
        <f t="array" ref="O190">_xlfn.IFS(AND(K190="Broker",J190="Resale"),F190*0.5,AND(K190="Owner",J190="Resale"),F190*0,AND(K190="Builder",J190="Resale"),F190*0.3,AND(J190="New",K190="Broker"),F190*0.1,AND(J190="New",K190="Owner"),F190*0,AND(J190="New",K190="Builder"),F190*0.5)</f>
        <v>971751.4</v>
      </c>
    </row>
    <row r="191" spans="1:15" x14ac:dyDescent="0.3">
      <c r="A191" s="8" t="s">
        <v>226</v>
      </c>
      <c r="B191" s="4" t="s">
        <v>180</v>
      </c>
      <c r="C191" s="4" t="s">
        <v>187</v>
      </c>
      <c r="D191" s="4">
        <v>2</v>
      </c>
      <c r="E191" s="4">
        <v>1204</v>
      </c>
      <c r="F191" s="4">
        <v>12066956</v>
      </c>
      <c r="G191" s="4">
        <v>2</v>
      </c>
      <c r="H191" s="4">
        <v>2</v>
      </c>
      <c r="I191" s="4" t="s">
        <v>8</v>
      </c>
      <c r="J191" s="4" t="s">
        <v>19</v>
      </c>
      <c r="K191" s="4" t="s">
        <v>24</v>
      </c>
      <c r="L191" s="9">
        <v>45661</v>
      </c>
      <c r="M191" s="9" t="str">
        <f>TEXT(Source_data[[#This Row],[Listing_Date]],"mmm-yy")</f>
        <v>Jan-25</v>
      </c>
      <c r="N191" s="4">
        <f t="shared" si="2"/>
        <v>10022.388704318937</v>
      </c>
      <c r="O191" s="3" cm="1">
        <f t="array" ref="O191">_xlfn.IFS(AND(K191="Broker",J191="Resale"),F191*0.5,AND(K191="Owner",J191="Resale"),F191*0,AND(K191="Builder",J191="Resale"),F191*0.3,AND(J191="New",K191="Broker"),F191*0.1,AND(J191="New",K191="Owner"),F191*0,AND(J191="New",K191="Builder"),F191*0.5)</f>
        <v>6033478</v>
      </c>
    </row>
    <row r="192" spans="1:15" x14ac:dyDescent="0.3">
      <c r="A192" s="8" t="s">
        <v>227</v>
      </c>
      <c r="B192" s="4" t="s">
        <v>180</v>
      </c>
      <c r="C192" s="4" t="s">
        <v>185</v>
      </c>
      <c r="D192" s="4">
        <v>3</v>
      </c>
      <c r="E192" s="4">
        <v>858</v>
      </c>
      <c r="F192" s="4">
        <v>8998182</v>
      </c>
      <c r="G192" s="4">
        <v>2</v>
      </c>
      <c r="H192" s="4">
        <v>2</v>
      </c>
      <c r="I192" s="4" t="s">
        <v>8</v>
      </c>
      <c r="J192" s="4" t="s">
        <v>23</v>
      </c>
      <c r="K192" s="4" t="s">
        <v>36</v>
      </c>
      <c r="L192" s="9">
        <v>45044</v>
      </c>
      <c r="M192" s="9" t="str">
        <f>TEXT(Source_data[[#This Row],[Listing_Date]],"mmm-yy")</f>
        <v>Apr-23</v>
      </c>
      <c r="N192" s="4">
        <f t="shared" si="2"/>
        <v>10487.391608391608</v>
      </c>
      <c r="O192" s="3" cm="1">
        <f t="array" ref="O192">_xlfn.IFS(AND(K192="Broker",J192="Resale"),F192*0.5,AND(K192="Owner",J192="Resale"),F192*0,AND(K192="Builder",J192="Resale"),F192*0.3,AND(J192="New",K192="Broker"),F192*0.1,AND(J192="New",K192="Owner"),F192*0,AND(J192="New",K192="Builder"),F192*0.5)</f>
        <v>0</v>
      </c>
    </row>
    <row r="193" spans="1:15" x14ac:dyDescent="0.3">
      <c r="A193" s="8" t="s">
        <v>228</v>
      </c>
      <c r="B193" s="4" t="s">
        <v>180</v>
      </c>
      <c r="C193" s="4" t="s">
        <v>192</v>
      </c>
      <c r="D193" s="4">
        <v>3</v>
      </c>
      <c r="E193" s="4">
        <v>1721</v>
      </c>
      <c r="F193" s="4">
        <v>20719758</v>
      </c>
      <c r="G193" s="4">
        <v>3</v>
      </c>
      <c r="H193" s="4">
        <v>0</v>
      </c>
      <c r="I193" s="4" t="s">
        <v>18</v>
      </c>
      <c r="J193" s="4" t="s">
        <v>19</v>
      </c>
      <c r="K193" s="4" t="s">
        <v>20</v>
      </c>
      <c r="L193" s="9">
        <v>45180</v>
      </c>
      <c r="M193" s="9" t="str">
        <f>TEXT(Source_data[[#This Row],[Listing_Date]],"mmm-yy")</f>
        <v>Sep-23</v>
      </c>
      <c r="N193" s="4">
        <f t="shared" si="2"/>
        <v>12039.371295758279</v>
      </c>
      <c r="O193" s="3" cm="1">
        <f t="array" ref="O193">_xlfn.IFS(AND(K193="Broker",J193="Resale"),F193*0.5,AND(K193="Owner",J193="Resale"),F193*0,AND(K193="Builder",J193="Resale"),F193*0.3,AND(J193="New",K193="Broker"),F193*0.1,AND(J193="New",K193="Owner"),F193*0,AND(J193="New",K193="Builder"),F193*0.5)</f>
        <v>2071975.8</v>
      </c>
    </row>
    <row r="194" spans="1:15" x14ac:dyDescent="0.3">
      <c r="A194" s="8" t="s">
        <v>229</v>
      </c>
      <c r="B194" s="4" t="s">
        <v>180</v>
      </c>
      <c r="C194" s="4" t="s">
        <v>183</v>
      </c>
      <c r="D194" s="4">
        <v>3</v>
      </c>
      <c r="E194" s="4">
        <v>1231</v>
      </c>
      <c r="F194" s="4">
        <v>11111885</v>
      </c>
      <c r="G194" s="4">
        <v>3</v>
      </c>
      <c r="H194" s="4">
        <v>1</v>
      </c>
      <c r="I194" s="4" t="s">
        <v>18</v>
      </c>
      <c r="J194" s="4" t="s">
        <v>19</v>
      </c>
      <c r="K194" s="4" t="s">
        <v>24</v>
      </c>
      <c r="L194" s="9">
        <v>45057</v>
      </c>
      <c r="M194" s="9" t="str">
        <f>TEXT(Source_data[[#This Row],[Listing_Date]],"mmm-yy")</f>
        <v>May-23</v>
      </c>
      <c r="N194" s="4">
        <f t="shared" si="2"/>
        <v>9026.7140536149473</v>
      </c>
      <c r="O194" s="3" cm="1">
        <f t="array" ref="O194">_xlfn.IFS(AND(K194="Broker",J194="Resale"),F194*0.5,AND(K194="Owner",J194="Resale"),F194*0,AND(K194="Builder",J194="Resale"),F194*0.3,AND(J194="New",K194="Broker"),F194*0.1,AND(J194="New",K194="Owner"),F194*0,AND(J194="New",K194="Builder"),F194*0.5)</f>
        <v>5555942.5</v>
      </c>
    </row>
    <row r="195" spans="1:15" x14ac:dyDescent="0.3">
      <c r="A195" s="8" t="s">
        <v>230</v>
      </c>
      <c r="B195" s="4" t="s">
        <v>180</v>
      </c>
      <c r="C195" s="4" t="s">
        <v>187</v>
      </c>
      <c r="D195" s="4">
        <v>3</v>
      </c>
      <c r="E195" s="4">
        <v>1699</v>
      </c>
      <c r="F195" s="4">
        <v>18629014</v>
      </c>
      <c r="G195" s="4">
        <v>3</v>
      </c>
      <c r="H195" s="4">
        <v>3</v>
      </c>
      <c r="I195" s="4" t="s">
        <v>67</v>
      </c>
      <c r="J195" s="4" t="s">
        <v>19</v>
      </c>
      <c r="K195" s="4" t="s">
        <v>36</v>
      </c>
      <c r="L195" s="9">
        <v>45501</v>
      </c>
      <c r="M195" s="9" t="str">
        <f>TEXT(Source_data[[#This Row],[Listing_Date]],"mmm-yy")</f>
        <v>Jul-24</v>
      </c>
      <c r="N195" s="4">
        <f t="shared" ref="N195:N258" si="3">F195/E195</f>
        <v>10964.693349028841</v>
      </c>
      <c r="O195" s="3" cm="1">
        <f t="array" ref="O195">_xlfn.IFS(AND(K195="Broker",J195="Resale"),F195*0.5,AND(K195="Owner",J195="Resale"),F195*0,AND(K195="Builder",J195="Resale"),F195*0.3,AND(J195="New",K195="Broker"),F195*0.1,AND(J195="New",K195="Owner"),F195*0,AND(J195="New",K195="Builder"),F195*0.5)</f>
        <v>0</v>
      </c>
    </row>
    <row r="196" spans="1:15" x14ac:dyDescent="0.3">
      <c r="A196" s="8" t="s">
        <v>231</v>
      </c>
      <c r="B196" s="4" t="s">
        <v>180</v>
      </c>
      <c r="C196" s="4" t="s">
        <v>181</v>
      </c>
      <c r="D196" s="4">
        <v>4</v>
      </c>
      <c r="E196" s="4">
        <v>2006</v>
      </c>
      <c r="F196" s="4">
        <v>21580578</v>
      </c>
      <c r="G196" s="4">
        <v>2</v>
      </c>
      <c r="H196" s="4">
        <v>2</v>
      </c>
      <c r="I196" s="4" t="s">
        <v>27</v>
      </c>
      <c r="J196" s="4" t="s">
        <v>23</v>
      </c>
      <c r="K196" s="4" t="s">
        <v>24</v>
      </c>
      <c r="L196" s="9">
        <v>45390</v>
      </c>
      <c r="M196" s="9" t="str">
        <f>TEXT(Source_data[[#This Row],[Listing_Date]],"mmm-yy")</f>
        <v>Apr-24</v>
      </c>
      <c r="N196" s="4">
        <f t="shared" si="3"/>
        <v>10758.014955134597</v>
      </c>
      <c r="O196" s="3" cm="1">
        <f t="array" ref="O196">_xlfn.IFS(AND(K196="Broker",J196="Resale"),F196*0.5,AND(K196="Owner",J196="Resale"),F196*0,AND(K196="Builder",J196="Resale"),F196*0.3,AND(J196="New",K196="Broker"),F196*0.1,AND(J196="New",K196="Owner"),F196*0,AND(J196="New",K196="Builder"),F196*0.5)</f>
        <v>6474173.3999999994</v>
      </c>
    </row>
    <row r="197" spans="1:15" x14ac:dyDescent="0.3">
      <c r="A197" s="8" t="s">
        <v>232</v>
      </c>
      <c r="B197" s="4" t="s">
        <v>180</v>
      </c>
      <c r="C197" s="4" t="s">
        <v>197</v>
      </c>
      <c r="D197" s="4">
        <v>1</v>
      </c>
      <c r="E197" s="4">
        <v>800</v>
      </c>
      <c r="F197" s="4">
        <v>9975983</v>
      </c>
      <c r="G197" s="4">
        <v>1</v>
      </c>
      <c r="H197" s="4">
        <v>1</v>
      </c>
      <c r="I197" s="4" t="s">
        <v>8</v>
      </c>
      <c r="J197" s="4" t="s">
        <v>19</v>
      </c>
      <c r="K197" s="4" t="s">
        <v>20</v>
      </c>
      <c r="L197" s="9">
        <v>45610</v>
      </c>
      <c r="M197" s="9" t="str">
        <f>TEXT(Source_data[[#This Row],[Listing_Date]],"mmm-yy")</f>
        <v>Nov-24</v>
      </c>
      <c r="N197" s="4">
        <f t="shared" si="3"/>
        <v>12469.97875</v>
      </c>
      <c r="O197" s="3" cm="1">
        <f t="array" ref="O197">_xlfn.IFS(AND(K197="Broker",J197="Resale"),F197*0.5,AND(K197="Owner",J197="Resale"),F197*0,AND(K197="Builder",J197="Resale"),F197*0.3,AND(J197="New",K197="Broker"),F197*0.1,AND(J197="New",K197="Owner"),F197*0,AND(J197="New",K197="Builder"),F197*0.5)</f>
        <v>997598.3</v>
      </c>
    </row>
    <row r="198" spans="1:15" x14ac:dyDescent="0.3">
      <c r="A198" s="8" t="s">
        <v>233</v>
      </c>
      <c r="B198" s="4" t="s">
        <v>180</v>
      </c>
      <c r="C198" s="4" t="s">
        <v>187</v>
      </c>
      <c r="D198" s="4">
        <v>2</v>
      </c>
      <c r="E198" s="4">
        <v>940</v>
      </c>
      <c r="F198" s="4">
        <v>11654560</v>
      </c>
      <c r="G198" s="4">
        <v>2</v>
      </c>
      <c r="H198" s="4">
        <v>4</v>
      </c>
      <c r="I198" s="4" t="s">
        <v>18</v>
      </c>
      <c r="J198" s="4" t="s">
        <v>23</v>
      </c>
      <c r="K198" s="4" t="s">
        <v>24</v>
      </c>
      <c r="L198" s="9">
        <v>45895</v>
      </c>
      <c r="M198" s="9" t="str">
        <f>TEXT(Source_data[[#This Row],[Listing_Date]],"mmm-yy")</f>
        <v>Aug-25</v>
      </c>
      <c r="N198" s="4">
        <f t="shared" si="3"/>
        <v>12398.468085106382</v>
      </c>
      <c r="O198" s="3" cm="1">
        <f t="array" ref="O198">_xlfn.IFS(AND(K198="Broker",J198="Resale"),F198*0.5,AND(K198="Owner",J198="Resale"),F198*0,AND(K198="Builder",J198="Resale"),F198*0.3,AND(J198="New",K198="Broker"),F198*0.1,AND(J198="New",K198="Owner"),F198*0,AND(J198="New",K198="Builder"),F198*0.5)</f>
        <v>3496368</v>
      </c>
    </row>
    <row r="199" spans="1:15" x14ac:dyDescent="0.3">
      <c r="A199" s="8" t="s">
        <v>234</v>
      </c>
      <c r="B199" s="4" t="s">
        <v>180</v>
      </c>
      <c r="C199" s="4" t="s">
        <v>192</v>
      </c>
      <c r="D199" s="4">
        <v>3</v>
      </c>
      <c r="E199" s="4">
        <v>776</v>
      </c>
      <c r="F199" s="4">
        <v>10029062</v>
      </c>
      <c r="G199" s="4">
        <v>4</v>
      </c>
      <c r="H199" s="4">
        <v>0</v>
      </c>
      <c r="I199" s="4" t="s">
        <v>8</v>
      </c>
      <c r="J199" s="4" t="s">
        <v>23</v>
      </c>
      <c r="K199" s="4" t="s">
        <v>24</v>
      </c>
      <c r="L199" s="9">
        <v>45152</v>
      </c>
      <c r="M199" s="9" t="str">
        <f>TEXT(Source_data[[#This Row],[Listing_Date]],"mmm-yy")</f>
        <v>Aug-23</v>
      </c>
      <c r="N199" s="4">
        <f t="shared" si="3"/>
        <v>12924.048969072164</v>
      </c>
      <c r="O199" s="3" cm="1">
        <f t="array" ref="O199">_xlfn.IFS(AND(K199="Broker",J199="Resale"),F199*0.5,AND(K199="Owner",J199="Resale"),F199*0,AND(K199="Builder",J199="Resale"),F199*0.3,AND(J199="New",K199="Broker"),F199*0.1,AND(J199="New",K199="Owner"),F199*0,AND(J199="New",K199="Builder"),F199*0.5)</f>
        <v>3008718.6</v>
      </c>
    </row>
    <row r="200" spans="1:15" x14ac:dyDescent="0.3">
      <c r="A200" s="8" t="s">
        <v>235</v>
      </c>
      <c r="B200" s="4" t="s">
        <v>180</v>
      </c>
      <c r="C200" s="4" t="s">
        <v>181</v>
      </c>
      <c r="D200" s="4">
        <v>2</v>
      </c>
      <c r="E200" s="4">
        <v>685</v>
      </c>
      <c r="F200" s="4">
        <v>6554482</v>
      </c>
      <c r="G200" s="4">
        <v>2</v>
      </c>
      <c r="H200" s="4">
        <v>1</v>
      </c>
      <c r="I200" s="4" t="s">
        <v>8</v>
      </c>
      <c r="J200" s="4" t="s">
        <v>19</v>
      </c>
      <c r="K200" s="4" t="s">
        <v>36</v>
      </c>
      <c r="L200" s="9">
        <v>45691</v>
      </c>
      <c r="M200" s="9" t="str">
        <f>TEXT(Source_data[[#This Row],[Listing_Date]],"mmm-yy")</f>
        <v>Feb-25</v>
      </c>
      <c r="N200" s="4">
        <f t="shared" si="3"/>
        <v>9568.5868613138682</v>
      </c>
      <c r="O200" s="3" cm="1">
        <f t="array" ref="O200">_xlfn.IFS(AND(K200="Broker",J200="Resale"),F200*0.5,AND(K200="Owner",J200="Resale"),F200*0,AND(K200="Builder",J200="Resale"),F200*0.3,AND(J200="New",K200="Broker"),F200*0.1,AND(J200="New",K200="Owner"),F200*0,AND(J200="New",K200="Builder"),F200*0.5)</f>
        <v>0</v>
      </c>
    </row>
    <row r="201" spans="1:15" x14ac:dyDescent="0.3">
      <c r="A201" s="8" t="s">
        <v>236</v>
      </c>
      <c r="B201" s="4" t="s">
        <v>180</v>
      </c>
      <c r="C201" s="4" t="s">
        <v>187</v>
      </c>
      <c r="D201" s="4">
        <v>2</v>
      </c>
      <c r="E201" s="4">
        <v>809</v>
      </c>
      <c r="F201" s="4">
        <v>8703641</v>
      </c>
      <c r="G201" s="4">
        <v>1</v>
      </c>
      <c r="H201" s="4">
        <v>0</v>
      </c>
      <c r="I201" s="4" t="s">
        <v>18</v>
      </c>
      <c r="J201" s="4" t="s">
        <v>19</v>
      </c>
      <c r="K201" s="4" t="s">
        <v>20</v>
      </c>
      <c r="L201" s="9">
        <v>45277</v>
      </c>
      <c r="M201" s="9" t="str">
        <f>TEXT(Source_data[[#This Row],[Listing_Date]],"mmm-yy")</f>
        <v>Dec-23</v>
      </c>
      <c r="N201" s="4">
        <f t="shared" si="3"/>
        <v>10758.517923362175</v>
      </c>
      <c r="O201" s="3" cm="1">
        <f t="array" ref="O201">_xlfn.IFS(AND(K201="Broker",J201="Resale"),F201*0.5,AND(K201="Owner",J201="Resale"),F201*0,AND(K201="Builder",J201="Resale"),F201*0.3,AND(J201="New",K201="Broker"),F201*0.1,AND(J201="New",K201="Owner"),F201*0,AND(J201="New",K201="Builder"),F201*0.5)</f>
        <v>870364.10000000009</v>
      </c>
    </row>
    <row r="202" spans="1:15" x14ac:dyDescent="0.3">
      <c r="A202" s="8" t="s">
        <v>237</v>
      </c>
      <c r="B202" s="4" t="s">
        <v>180</v>
      </c>
      <c r="C202" s="4" t="s">
        <v>187</v>
      </c>
      <c r="D202" s="4">
        <v>2</v>
      </c>
      <c r="E202" s="4">
        <v>1137</v>
      </c>
      <c r="F202" s="4">
        <v>10645444</v>
      </c>
      <c r="G202" s="4">
        <v>2</v>
      </c>
      <c r="H202" s="4">
        <v>4</v>
      </c>
      <c r="I202" s="4" t="s">
        <v>27</v>
      </c>
      <c r="J202" s="4" t="s">
        <v>19</v>
      </c>
      <c r="K202" s="4" t="s">
        <v>20</v>
      </c>
      <c r="L202" s="9">
        <v>45405</v>
      </c>
      <c r="M202" s="9" t="str">
        <f>TEXT(Source_data[[#This Row],[Listing_Date]],"mmm-yy")</f>
        <v>Apr-24</v>
      </c>
      <c r="N202" s="4">
        <f t="shared" si="3"/>
        <v>9362.7475813544406</v>
      </c>
      <c r="O202" s="3" cm="1">
        <f t="array" ref="O202">_xlfn.IFS(AND(K202="Broker",J202="Resale"),F202*0.5,AND(K202="Owner",J202="Resale"),F202*0,AND(K202="Builder",J202="Resale"),F202*0.3,AND(J202="New",K202="Broker"),F202*0.1,AND(J202="New",K202="Owner"),F202*0,AND(J202="New",K202="Builder"),F202*0.5)</f>
        <v>1064544.4000000001</v>
      </c>
    </row>
    <row r="203" spans="1:15" x14ac:dyDescent="0.3">
      <c r="A203" s="8" t="s">
        <v>238</v>
      </c>
      <c r="B203" s="4" t="s">
        <v>180</v>
      </c>
      <c r="C203" s="4" t="s">
        <v>183</v>
      </c>
      <c r="D203" s="4">
        <v>4</v>
      </c>
      <c r="E203" s="4">
        <v>1879</v>
      </c>
      <c r="F203" s="4">
        <v>17348555</v>
      </c>
      <c r="G203" s="4">
        <v>2</v>
      </c>
      <c r="H203" s="4">
        <v>2</v>
      </c>
      <c r="I203" s="4" t="s">
        <v>8</v>
      </c>
      <c r="J203" s="4" t="s">
        <v>23</v>
      </c>
      <c r="K203" s="4" t="s">
        <v>24</v>
      </c>
      <c r="L203" s="9">
        <v>45861</v>
      </c>
      <c r="M203" s="9" t="str">
        <f>TEXT(Source_data[[#This Row],[Listing_Date]],"mmm-yy")</f>
        <v>Jul-25</v>
      </c>
      <c r="N203" s="4">
        <f t="shared" si="3"/>
        <v>9232.8658861096319</v>
      </c>
      <c r="O203" s="3" cm="1">
        <f t="array" ref="O203">_xlfn.IFS(AND(K203="Broker",J203="Resale"),F203*0.5,AND(K203="Owner",J203="Resale"),F203*0,AND(K203="Builder",J203="Resale"),F203*0.3,AND(J203="New",K203="Broker"),F203*0.1,AND(J203="New",K203="Owner"),F203*0,AND(J203="New",K203="Builder"),F203*0.5)</f>
        <v>5204566.5</v>
      </c>
    </row>
    <row r="204" spans="1:15" x14ac:dyDescent="0.3">
      <c r="A204" s="8" t="s">
        <v>239</v>
      </c>
      <c r="B204" s="4" t="s">
        <v>180</v>
      </c>
      <c r="C204" s="4" t="s">
        <v>185</v>
      </c>
      <c r="D204" s="4">
        <v>3</v>
      </c>
      <c r="E204" s="4">
        <v>1651</v>
      </c>
      <c r="F204" s="4">
        <v>17560369</v>
      </c>
      <c r="G204" s="4">
        <v>3</v>
      </c>
      <c r="H204" s="4">
        <v>1</v>
      </c>
      <c r="I204" s="4" t="s">
        <v>18</v>
      </c>
      <c r="J204" s="4" t="s">
        <v>19</v>
      </c>
      <c r="K204" s="4" t="s">
        <v>20</v>
      </c>
      <c r="L204" s="9">
        <v>45453</v>
      </c>
      <c r="M204" s="9" t="str">
        <f>TEXT(Source_data[[#This Row],[Listing_Date]],"mmm-yy")</f>
        <v>Jun-24</v>
      </c>
      <c r="N204" s="4">
        <f t="shared" si="3"/>
        <v>10636.201695941854</v>
      </c>
      <c r="O204" s="3" cm="1">
        <f t="array" ref="O204">_xlfn.IFS(AND(K204="Broker",J204="Resale"),F204*0.5,AND(K204="Owner",J204="Resale"),F204*0,AND(K204="Builder",J204="Resale"),F204*0.3,AND(J204="New",K204="Broker"),F204*0.1,AND(J204="New",K204="Owner"),F204*0,AND(J204="New",K204="Builder"),F204*0.5)</f>
        <v>1756036.9000000001</v>
      </c>
    </row>
    <row r="205" spans="1:15" x14ac:dyDescent="0.3">
      <c r="A205" s="8" t="s">
        <v>240</v>
      </c>
      <c r="B205" s="4" t="s">
        <v>180</v>
      </c>
      <c r="C205" s="4" t="s">
        <v>192</v>
      </c>
      <c r="D205" s="4">
        <v>3</v>
      </c>
      <c r="E205" s="4">
        <v>1083</v>
      </c>
      <c r="F205" s="4">
        <v>10623468</v>
      </c>
      <c r="G205" s="4">
        <v>3</v>
      </c>
      <c r="H205" s="4">
        <v>3</v>
      </c>
      <c r="I205" s="4" t="s">
        <v>27</v>
      </c>
      <c r="J205" s="4" t="s">
        <v>23</v>
      </c>
      <c r="K205" s="4" t="s">
        <v>36</v>
      </c>
      <c r="L205" s="9">
        <v>45082</v>
      </c>
      <c r="M205" s="9" t="str">
        <f>TEXT(Source_data[[#This Row],[Listing_Date]],"mmm-yy")</f>
        <v>Jun-23</v>
      </c>
      <c r="N205" s="4">
        <f t="shared" si="3"/>
        <v>9809.2963988919673</v>
      </c>
      <c r="O205" s="3" cm="1">
        <f t="array" ref="O205">_xlfn.IFS(AND(K205="Broker",J205="Resale"),F205*0.5,AND(K205="Owner",J205="Resale"),F205*0,AND(K205="Builder",J205="Resale"),F205*0.3,AND(J205="New",K205="Broker"),F205*0.1,AND(J205="New",K205="Owner"),F205*0,AND(J205="New",K205="Builder"),F205*0.5)</f>
        <v>0</v>
      </c>
    </row>
    <row r="206" spans="1:15" x14ac:dyDescent="0.3">
      <c r="A206" s="8" t="s">
        <v>241</v>
      </c>
      <c r="B206" s="4" t="s">
        <v>180</v>
      </c>
      <c r="C206" s="4" t="s">
        <v>197</v>
      </c>
      <c r="D206" s="4">
        <v>4</v>
      </c>
      <c r="E206" s="4">
        <v>1486</v>
      </c>
      <c r="F206" s="4">
        <v>11373669</v>
      </c>
      <c r="G206" s="4">
        <v>3</v>
      </c>
      <c r="H206" s="4">
        <v>2</v>
      </c>
      <c r="I206" s="4" t="s">
        <v>8</v>
      </c>
      <c r="J206" s="4" t="s">
        <v>23</v>
      </c>
      <c r="K206" s="4" t="s">
        <v>24</v>
      </c>
      <c r="L206" s="9">
        <v>45094</v>
      </c>
      <c r="M206" s="9" t="str">
        <f>TEXT(Source_data[[#This Row],[Listing_Date]],"mmm-yy")</f>
        <v>Jun-23</v>
      </c>
      <c r="N206" s="4">
        <f t="shared" si="3"/>
        <v>7653.8822341857331</v>
      </c>
      <c r="O206" s="3" cm="1">
        <f t="array" ref="O206">_xlfn.IFS(AND(K206="Broker",J206="Resale"),F206*0.5,AND(K206="Owner",J206="Resale"),F206*0,AND(K206="Builder",J206="Resale"),F206*0.3,AND(J206="New",K206="Broker"),F206*0.1,AND(J206="New",K206="Owner"),F206*0,AND(J206="New",K206="Builder"),F206*0.5)</f>
        <v>3412100.6999999997</v>
      </c>
    </row>
    <row r="207" spans="1:15" x14ac:dyDescent="0.3">
      <c r="A207" s="8" t="s">
        <v>242</v>
      </c>
      <c r="B207" s="4" t="s">
        <v>180</v>
      </c>
      <c r="C207" s="4" t="s">
        <v>197</v>
      </c>
      <c r="D207" s="4">
        <v>2</v>
      </c>
      <c r="E207" s="4">
        <v>718</v>
      </c>
      <c r="F207" s="4">
        <v>7278552</v>
      </c>
      <c r="G207" s="4">
        <v>3</v>
      </c>
      <c r="H207" s="4">
        <v>2</v>
      </c>
      <c r="I207" s="4" t="s">
        <v>67</v>
      </c>
      <c r="J207" s="4" t="s">
        <v>19</v>
      </c>
      <c r="K207" s="4" t="s">
        <v>24</v>
      </c>
      <c r="L207" s="9">
        <v>45102</v>
      </c>
      <c r="M207" s="9" t="str">
        <f>TEXT(Source_data[[#This Row],[Listing_Date]],"mmm-yy")</f>
        <v>Jun-23</v>
      </c>
      <c r="N207" s="4">
        <f t="shared" si="3"/>
        <v>10137.259052924792</v>
      </c>
      <c r="O207" s="3" cm="1">
        <f t="array" ref="O207">_xlfn.IFS(AND(K207="Broker",J207="Resale"),F207*0.5,AND(K207="Owner",J207="Resale"),F207*0,AND(K207="Builder",J207="Resale"),F207*0.3,AND(J207="New",K207="Broker"),F207*0.1,AND(J207="New",K207="Owner"),F207*0,AND(J207="New",K207="Builder"),F207*0.5)</f>
        <v>3639276</v>
      </c>
    </row>
    <row r="208" spans="1:15" x14ac:dyDescent="0.3">
      <c r="A208" s="8" t="s">
        <v>243</v>
      </c>
      <c r="B208" s="4" t="s">
        <v>180</v>
      </c>
      <c r="C208" s="4" t="s">
        <v>187</v>
      </c>
      <c r="D208" s="4">
        <v>3</v>
      </c>
      <c r="E208" s="4">
        <v>1225</v>
      </c>
      <c r="F208" s="4">
        <v>13758301</v>
      </c>
      <c r="G208" s="4">
        <v>4</v>
      </c>
      <c r="H208" s="4">
        <v>2</v>
      </c>
      <c r="I208" s="4" t="s">
        <v>18</v>
      </c>
      <c r="J208" s="4" t="s">
        <v>19</v>
      </c>
      <c r="K208" s="4" t="s">
        <v>20</v>
      </c>
      <c r="L208" s="9">
        <v>45133</v>
      </c>
      <c r="M208" s="9" t="str">
        <f>TEXT(Source_data[[#This Row],[Listing_Date]],"mmm-yy")</f>
        <v>Jul-23</v>
      </c>
      <c r="N208" s="4">
        <f t="shared" si="3"/>
        <v>11231.26612244898</v>
      </c>
      <c r="O208" s="3" cm="1">
        <f t="array" ref="O208">_xlfn.IFS(AND(K208="Broker",J208="Resale"),F208*0.5,AND(K208="Owner",J208="Resale"),F208*0,AND(K208="Builder",J208="Resale"),F208*0.3,AND(J208="New",K208="Broker"),F208*0.1,AND(J208="New",K208="Owner"),F208*0,AND(J208="New",K208="Builder"),F208*0.5)</f>
        <v>1375830.1</v>
      </c>
    </row>
    <row r="209" spans="1:15" x14ac:dyDescent="0.3">
      <c r="A209" s="8" t="s">
        <v>244</v>
      </c>
      <c r="B209" s="4" t="s">
        <v>180</v>
      </c>
      <c r="C209" s="4" t="s">
        <v>192</v>
      </c>
      <c r="D209" s="4">
        <v>3</v>
      </c>
      <c r="E209" s="4">
        <v>1011</v>
      </c>
      <c r="F209" s="4">
        <v>10972703</v>
      </c>
      <c r="G209" s="4">
        <v>3</v>
      </c>
      <c r="H209" s="4">
        <v>1</v>
      </c>
      <c r="I209" s="4" t="s">
        <v>8</v>
      </c>
      <c r="J209" s="4" t="s">
        <v>19</v>
      </c>
      <c r="K209" s="4" t="s">
        <v>36</v>
      </c>
      <c r="L209" s="9">
        <v>45061</v>
      </c>
      <c r="M209" s="9" t="str">
        <f>TEXT(Source_data[[#This Row],[Listing_Date]],"mmm-yy")</f>
        <v>May-23</v>
      </c>
      <c r="N209" s="4">
        <f t="shared" si="3"/>
        <v>10853.316518298714</v>
      </c>
      <c r="O209" s="3" cm="1">
        <f t="array" ref="O209">_xlfn.IFS(AND(K209="Broker",J209="Resale"),F209*0.5,AND(K209="Owner",J209="Resale"),F209*0,AND(K209="Builder",J209="Resale"),F209*0.3,AND(J209="New",K209="Broker"),F209*0.1,AND(J209="New",K209="Owner"),F209*0,AND(J209="New",K209="Builder"),F209*0.5)</f>
        <v>0</v>
      </c>
    </row>
    <row r="210" spans="1:15" x14ac:dyDescent="0.3">
      <c r="A210" s="8" t="s">
        <v>245</v>
      </c>
      <c r="B210" s="4" t="s">
        <v>180</v>
      </c>
      <c r="C210" s="4" t="s">
        <v>185</v>
      </c>
      <c r="D210" s="4">
        <v>3</v>
      </c>
      <c r="E210" s="4">
        <v>1305</v>
      </c>
      <c r="F210" s="4">
        <v>13590224</v>
      </c>
      <c r="G210" s="4">
        <v>2</v>
      </c>
      <c r="H210" s="4">
        <v>2</v>
      </c>
      <c r="I210" s="4" t="s">
        <v>18</v>
      </c>
      <c r="J210" s="4" t="s">
        <v>19</v>
      </c>
      <c r="K210" s="4" t="s">
        <v>36</v>
      </c>
      <c r="L210" s="9">
        <v>45173</v>
      </c>
      <c r="M210" s="9" t="str">
        <f>TEXT(Source_data[[#This Row],[Listing_Date]],"mmm-yy")</f>
        <v>Sep-23</v>
      </c>
      <c r="N210" s="4">
        <f t="shared" si="3"/>
        <v>10413.964750957854</v>
      </c>
      <c r="O210" s="3" cm="1">
        <f t="array" ref="O210">_xlfn.IFS(AND(K210="Broker",J210="Resale"),F210*0.5,AND(K210="Owner",J210="Resale"),F210*0,AND(K210="Builder",J210="Resale"),F210*0.3,AND(J210="New",K210="Broker"),F210*0.1,AND(J210="New",K210="Owner"),F210*0,AND(J210="New",K210="Builder"),F210*0.5)</f>
        <v>0</v>
      </c>
    </row>
    <row r="211" spans="1:15" x14ac:dyDescent="0.3">
      <c r="A211" s="8" t="s">
        <v>246</v>
      </c>
      <c r="B211" s="4" t="s">
        <v>180</v>
      </c>
      <c r="C211" s="4" t="s">
        <v>192</v>
      </c>
      <c r="D211" s="4">
        <v>4</v>
      </c>
      <c r="E211" s="4">
        <v>1779</v>
      </c>
      <c r="F211" s="4">
        <v>20388045</v>
      </c>
      <c r="G211" s="4">
        <v>3</v>
      </c>
      <c r="H211" s="4">
        <v>3</v>
      </c>
      <c r="I211" s="4" t="s">
        <v>18</v>
      </c>
      <c r="J211" s="4" t="s">
        <v>23</v>
      </c>
      <c r="K211" s="4" t="s">
        <v>36</v>
      </c>
      <c r="L211" s="9">
        <v>45017</v>
      </c>
      <c r="M211" s="9" t="str">
        <f>TEXT(Source_data[[#This Row],[Listing_Date]],"mmm-yy")</f>
        <v>Apr-23</v>
      </c>
      <c r="N211" s="4">
        <f t="shared" si="3"/>
        <v>11460.39629005059</v>
      </c>
      <c r="O211" s="3" cm="1">
        <f t="array" ref="O211">_xlfn.IFS(AND(K211="Broker",J211="Resale"),F211*0.5,AND(K211="Owner",J211="Resale"),F211*0,AND(K211="Builder",J211="Resale"),F211*0.3,AND(J211="New",K211="Broker"),F211*0.1,AND(J211="New",K211="Owner"),F211*0,AND(J211="New",K211="Builder"),F211*0.5)</f>
        <v>0</v>
      </c>
    </row>
    <row r="212" spans="1:15" x14ac:dyDescent="0.3">
      <c r="A212" s="8" t="s">
        <v>247</v>
      </c>
      <c r="B212" s="4" t="s">
        <v>180</v>
      </c>
      <c r="C212" s="4" t="s">
        <v>185</v>
      </c>
      <c r="D212" s="4">
        <v>4</v>
      </c>
      <c r="E212" s="4">
        <v>1079</v>
      </c>
      <c r="F212" s="4">
        <v>14064045</v>
      </c>
      <c r="G212" s="4">
        <v>4</v>
      </c>
      <c r="H212" s="4">
        <v>4</v>
      </c>
      <c r="I212" s="4" t="s">
        <v>8</v>
      </c>
      <c r="J212" s="4" t="s">
        <v>23</v>
      </c>
      <c r="K212" s="4" t="s">
        <v>24</v>
      </c>
      <c r="L212" s="9">
        <v>45460</v>
      </c>
      <c r="M212" s="9" t="str">
        <f>TEXT(Source_data[[#This Row],[Listing_Date]],"mmm-yy")</f>
        <v>Jun-24</v>
      </c>
      <c r="N212" s="4">
        <f t="shared" si="3"/>
        <v>13034.332715477294</v>
      </c>
      <c r="O212" s="3" cm="1">
        <f t="array" ref="O212">_xlfn.IFS(AND(K212="Broker",J212="Resale"),F212*0.5,AND(K212="Owner",J212="Resale"),F212*0,AND(K212="Builder",J212="Resale"),F212*0.3,AND(J212="New",K212="Broker"),F212*0.1,AND(J212="New",K212="Owner"),F212*0,AND(J212="New",K212="Builder"),F212*0.5)</f>
        <v>4219213.5</v>
      </c>
    </row>
    <row r="213" spans="1:15" x14ac:dyDescent="0.3">
      <c r="A213" s="8" t="s">
        <v>248</v>
      </c>
      <c r="B213" s="4" t="s">
        <v>180</v>
      </c>
      <c r="C213" s="4" t="s">
        <v>192</v>
      </c>
      <c r="D213" s="4">
        <v>2</v>
      </c>
      <c r="E213" s="4">
        <v>719</v>
      </c>
      <c r="F213" s="4">
        <v>8816643</v>
      </c>
      <c r="G213" s="4">
        <v>2</v>
      </c>
      <c r="H213" s="4">
        <v>2</v>
      </c>
      <c r="I213" s="4" t="s">
        <v>8</v>
      </c>
      <c r="J213" s="4" t="s">
        <v>19</v>
      </c>
      <c r="K213" s="4" t="s">
        <v>36</v>
      </c>
      <c r="L213" s="9">
        <v>45350</v>
      </c>
      <c r="M213" s="9" t="str">
        <f>TEXT(Source_data[[#This Row],[Listing_Date]],"mmm-yy")</f>
        <v>Feb-24</v>
      </c>
      <c r="N213" s="4">
        <f t="shared" si="3"/>
        <v>12262.368567454798</v>
      </c>
      <c r="O213" s="3" cm="1">
        <f t="array" ref="O213">_xlfn.IFS(AND(K213="Broker",J213="Resale"),F213*0.5,AND(K213="Owner",J213="Resale"),F213*0,AND(K213="Builder",J213="Resale"),F213*0.3,AND(J213="New",K213="Broker"),F213*0.1,AND(J213="New",K213="Owner"),F213*0,AND(J213="New",K213="Builder"),F213*0.5)</f>
        <v>0</v>
      </c>
    </row>
    <row r="214" spans="1:15" x14ac:dyDescent="0.3">
      <c r="A214" s="8" t="s">
        <v>249</v>
      </c>
      <c r="B214" s="4" t="s">
        <v>180</v>
      </c>
      <c r="C214" s="4" t="s">
        <v>183</v>
      </c>
      <c r="D214" s="4">
        <v>2</v>
      </c>
      <c r="E214" s="4">
        <v>789</v>
      </c>
      <c r="F214" s="4">
        <v>8281980</v>
      </c>
      <c r="G214" s="4">
        <v>2</v>
      </c>
      <c r="H214" s="4">
        <v>2</v>
      </c>
      <c r="I214" s="4" t="s">
        <v>18</v>
      </c>
      <c r="J214" s="4" t="s">
        <v>19</v>
      </c>
      <c r="K214" s="4" t="s">
        <v>36</v>
      </c>
      <c r="L214" s="9">
        <v>45730</v>
      </c>
      <c r="M214" s="9" t="str">
        <f>TEXT(Source_data[[#This Row],[Listing_Date]],"mmm-yy")</f>
        <v>Mar-25</v>
      </c>
      <c r="N214" s="4">
        <f t="shared" si="3"/>
        <v>10496.80608365019</v>
      </c>
      <c r="O214" s="3" cm="1">
        <f t="array" ref="O214">_xlfn.IFS(AND(K214="Broker",J214="Resale"),F214*0.5,AND(K214="Owner",J214="Resale"),F214*0,AND(K214="Builder",J214="Resale"),F214*0.3,AND(J214="New",K214="Broker"),F214*0.1,AND(J214="New",K214="Owner"),F214*0,AND(J214="New",K214="Builder"),F214*0.5)</f>
        <v>0</v>
      </c>
    </row>
    <row r="215" spans="1:15" x14ac:dyDescent="0.3">
      <c r="A215" s="8" t="s">
        <v>250</v>
      </c>
      <c r="B215" s="4" t="s">
        <v>180</v>
      </c>
      <c r="C215" s="4" t="s">
        <v>183</v>
      </c>
      <c r="D215" s="4">
        <v>3</v>
      </c>
      <c r="E215" s="4">
        <v>1275</v>
      </c>
      <c r="F215" s="4">
        <v>13890433</v>
      </c>
      <c r="G215" s="4">
        <v>3</v>
      </c>
      <c r="H215" s="4">
        <v>1</v>
      </c>
      <c r="I215" s="4" t="s">
        <v>27</v>
      </c>
      <c r="J215" s="4" t="s">
        <v>19</v>
      </c>
      <c r="K215" s="4" t="s">
        <v>20</v>
      </c>
      <c r="L215" s="9">
        <v>45095</v>
      </c>
      <c r="M215" s="9" t="str">
        <f>TEXT(Source_data[[#This Row],[Listing_Date]],"mmm-yy")</f>
        <v>Jun-23</v>
      </c>
      <c r="N215" s="4">
        <f t="shared" si="3"/>
        <v>10894.457254901961</v>
      </c>
      <c r="O215" s="3" cm="1">
        <f t="array" ref="O215">_xlfn.IFS(AND(K215="Broker",J215="Resale"),F215*0.5,AND(K215="Owner",J215="Resale"),F215*0,AND(K215="Builder",J215="Resale"),F215*0.3,AND(J215="New",K215="Broker"),F215*0.1,AND(J215="New",K215="Owner"),F215*0,AND(J215="New",K215="Builder"),F215*0.5)</f>
        <v>1389043.3</v>
      </c>
    </row>
    <row r="216" spans="1:15" x14ac:dyDescent="0.3">
      <c r="A216" s="8" t="s">
        <v>251</v>
      </c>
      <c r="B216" s="4" t="s">
        <v>180</v>
      </c>
      <c r="C216" s="4" t="s">
        <v>185</v>
      </c>
      <c r="D216" s="4">
        <v>2</v>
      </c>
      <c r="E216" s="4">
        <v>692</v>
      </c>
      <c r="F216" s="4">
        <v>9596647</v>
      </c>
      <c r="G216" s="4">
        <v>2</v>
      </c>
      <c r="H216" s="4">
        <v>1</v>
      </c>
      <c r="I216" s="4" t="s">
        <v>8</v>
      </c>
      <c r="J216" s="4" t="s">
        <v>19</v>
      </c>
      <c r="K216" s="4" t="s">
        <v>20</v>
      </c>
      <c r="L216" s="9">
        <v>45811</v>
      </c>
      <c r="M216" s="9" t="str">
        <f>TEXT(Source_data[[#This Row],[Listing_Date]],"mmm-yy")</f>
        <v>Jun-25</v>
      </c>
      <c r="N216" s="4">
        <f t="shared" si="3"/>
        <v>13867.986994219653</v>
      </c>
      <c r="O216" s="3" cm="1">
        <f t="array" ref="O216">_xlfn.IFS(AND(K216="Broker",J216="Resale"),F216*0.5,AND(K216="Owner",J216="Resale"),F216*0,AND(K216="Builder",J216="Resale"),F216*0.3,AND(J216="New",K216="Broker"),F216*0.1,AND(J216="New",K216="Owner"),F216*0,AND(J216="New",K216="Builder"),F216*0.5)</f>
        <v>959664.70000000007</v>
      </c>
    </row>
    <row r="217" spans="1:15" x14ac:dyDescent="0.3">
      <c r="A217" s="8" t="s">
        <v>252</v>
      </c>
      <c r="B217" s="4" t="s">
        <v>180</v>
      </c>
      <c r="C217" s="4" t="s">
        <v>197</v>
      </c>
      <c r="D217" s="4">
        <v>1</v>
      </c>
      <c r="E217" s="4">
        <v>520</v>
      </c>
      <c r="F217" s="4">
        <v>4295078</v>
      </c>
      <c r="G217" s="4">
        <v>1</v>
      </c>
      <c r="H217" s="4">
        <v>4</v>
      </c>
      <c r="I217" s="4" t="s">
        <v>27</v>
      </c>
      <c r="J217" s="4" t="s">
        <v>23</v>
      </c>
      <c r="K217" s="4" t="s">
        <v>36</v>
      </c>
      <c r="L217" s="9">
        <v>45139</v>
      </c>
      <c r="M217" s="9" t="str">
        <f>TEXT(Source_data[[#This Row],[Listing_Date]],"mmm-yy")</f>
        <v>Aug-23</v>
      </c>
      <c r="N217" s="4">
        <f t="shared" si="3"/>
        <v>8259.7653846153844</v>
      </c>
      <c r="O217" s="3" cm="1">
        <f t="array" ref="O217">_xlfn.IFS(AND(K217="Broker",J217="Resale"),F217*0.5,AND(K217="Owner",J217="Resale"),F217*0,AND(K217="Builder",J217="Resale"),F217*0.3,AND(J217="New",K217="Broker"),F217*0.1,AND(J217="New",K217="Owner"),F217*0,AND(J217="New",K217="Builder"),F217*0.5)</f>
        <v>0</v>
      </c>
    </row>
    <row r="218" spans="1:15" x14ac:dyDescent="0.3">
      <c r="A218" s="8" t="s">
        <v>253</v>
      </c>
      <c r="B218" s="4" t="s">
        <v>180</v>
      </c>
      <c r="C218" s="4" t="s">
        <v>181</v>
      </c>
      <c r="D218" s="4">
        <v>1</v>
      </c>
      <c r="E218" s="4">
        <v>620</v>
      </c>
      <c r="F218" s="4">
        <v>3376406</v>
      </c>
      <c r="G218" s="4">
        <v>1</v>
      </c>
      <c r="H218" s="4">
        <v>1</v>
      </c>
      <c r="I218" s="4" t="s">
        <v>18</v>
      </c>
      <c r="J218" s="4" t="s">
        <v>23</v>
      </c>
      <c r="K218" s="4" t="s">
        <v>20</v>
      </c>
      <c r="L218" s="9">
        <v>45176</v>
      </c>
      <c r="M218" s="9" t="str">
        <f>TEXT(Source_data[[#This Row],[Listing_Date]],"mmm-yy")</f>
        <v>Sep-23</v>
      </c>
      <c r="N218" s="4">
        <f t="shared" si="3"/>
        <v>5445.8161290322578</v>
      </c>
      <c r="O218" s="3" cm="1">
        <f t="array" ref="O218">_xlfn.IFS(AND(K218="Broker",J218="Resale"),F218*0.5,AND(K218="Owner",J218="Resale"),F218*0,AND(K218="Builder",J218="Resale"),F218*0.3,AND(J218="New",K218="Broker"),F218*0.1,AND(J218="New",K218="Owner"),F218*0,AND(J218="New",K218="Builder"),F218*0.5)</f>
        <v>1688203</v>
      </c>
    </row>
    <row r="219" spans="1:15" x14ac:dyDescent="0.3">
      <c r="A219" s="8" t="s">
        <v>254</v>
      </c>
      <c r="B219" s="4" t="s">
        <v>180</v>
      </c>
      <c r="C219" s="4" t="s">
        <v>192</v>
      </c>
      <c r="D219" s="4">
        <v>3</v>
      </c>
      <c r="E219" s="4">
        <v>1556</v>
      </c>
      <c r="F219" s="4">
        <v>16335656</v>
      </c>
      <c r="G219" s="4">
        <v>4</v>
      </c>
      <c r="H219" s="4">
        <v>2</v>
      </c>
      <c r="I219" s="4" t="s">
        <v>18</v>
      </c>
      <c r="J219" s="4" t="s">
        <v>23</v>
      </c>
      <c r="K219" s="4" t="s">
        <v>36</v>
      </c>
      <c r="L219" s="9">
        <v>45307</v>
      </c>
      <c r="M219" s="9" t="str">
        <f>TEXT(Source_data[[#This Row],[Listing_Date]],"mmm-yy")</f>
        <v>Jan-24</v>
      </c>
      <c r="N219" s="4">
        <f t="shared" si="3"/>
        <v>10498.493573264781</v>
      </c>
      <c r="O219" s="3" cm="1">
        <f t="array" ref="O219">_xlfn.IFS(AND(K219="Broker",J219="Resale"),F219*0.5,AND(K219="Owner",J219="Resale"),F219*0,AND(K219="Builder",J219="Resale"),F219*0.3,AND(J219="New",K219="Broker"),F219*0.1,AND(J219="New",K219="Owner"),F219*0,AND(J219="New",K219="Builder"),F219*0.5)</f>
        <v>0</v>
      </c>
    </row>
    <row r="220" spans="1:15" x14ac:dyDescent="0.3">
      <c r="A220" s="8" t="s">
        <v>255</v>
      </c>
      <c r="B220" s="4" t="s">
        <v>180</v>
      </c>
      <c r="C220" s="4" t="s">
        <v>197</v>
      </c>
      <c r="D220" s="4">
        <v>4</v>
      </c>
      <c r="E220" s="4">
        <v>1550</v>
      </c>
      <c r="F220" s="4">
        <v>14099179</v>
      </c>
      <c r="G220" s="4">
        <v>2</v>
      </c>
      <c r="H220" s="4">
        <v>2</v>
      </c>
      <c r="I220" s="4" t="s">
        <v>18</v>
      </c>
      <c r="J220" s="4" t="s">
        <v>23</v>
      </c>
      <c r="K220" s="4" t="s">
        <v>24</v>
      </c>
      <c r="L220" s="9">
        <v>45890</v>
      </c>
      <c r="M220" s="9" t="str">
        <f>TEXT(Source_data[[#This Row],[Listing_Date]],"mmm-yy")</f>
        <v>Aug-25</v>
      </c>
      <c r="N220" s="4">
        <f t="shared" si="3"/>
        <v>9096.2445161290325</v>
      </c>
      <c r="O220" s="3" cm="1">
        <f t="array" ref="O220">_xlfn.IFS(AND(K220="Broker",J220="Resale"),F220*0.5,AND(K220="Owner",J220="Resale"),F220*0,AND(K220="Builder",J220="Resale"),F220*0.3,AND(J220="New",K220="Broker"),F220*0.1,AND(J220="New",K220="Owner"),F220*0,AND(J220="New",K220="Builder"),F220*0.5)</f>
        <v>4229753.7</v>
      </c>
    </row>
    <row r="221" spans="1:15" x14ac:dyDescent="0.3">
      <c r="A221" s="8" t="s">
        <v>256</v>
      </c>
      <c r="B221" s="4" t="s">
        <v>180</v>
      </c>
      <c r="C221" s="4" t="s">
        <v>187</v>
      </c>
      <c r="D221" s="4">
        <v>1</v>
      </c>
      <c r="E221" s="4">
        <v>350</v>
      </c>
      <c r="F221" s="4">
        <v>3890718</v>
      </c>
      <c r="G221" s="4">
        <v>1</v>
      </c>
      <c r="H221" s="4">
        <v>1</v>
      </c>
      <c r="I221" s="4" t="s">
        <v>8</v>
      </c>
      <c r="J221" s="4" t="s">
        <v>19</v>
      </c>
      <c r="K221" s="4" t="s">
        <v>36</v>
      </c>
      <c r="L221" s="9">
        <v>45081</v>
      </c>
      <c r="M221" s="9" t="str">
        <f>TEXT(Source_data[[#This Row],[Listing_Date]],"mmm-yy")</f>
        <v>Jun-23</v>
      </c>
      <c r="N221" s="4">
        <f t="shared" si="3"/>
        <v>11116.337142857143</v>
      </c>
      <c r="O221" s="3" cm="1">
        <f t="array" ref="O221">_xlfn.IFS(AND(K221="Broker",J221="Resale"),F221*0.5,AND(K221="Owner",J221="Resale"),F221*0,AND(K221="Builder",J221="Resale"),F221*0.3,AND(J221="New",K221="Broker"),F221*0.1,AND(J221="New",K221="Owner"),F221*0,AND(J221="New",K221="Builder"),F221*0.5)</f>
        <v>0</v>
      </c>
    </row>
    <row r="222" spans="1:15" x14ac:dyDescent="0.3">
      <c r="A222" s="8" t="s">
        <v>257</v>
      </c>
      <c r="B222" s="4" t="s">
        <v>180</v>
      </c>
      <c r="C222" s="4" t="s">
        <v>181</v>
      </c>
      <c r="D222" s="4">
        <v>3</v>
      </c>
      <c r="E222" s="4">
        <v>1180</v>
      </c>
      <c r="F222" s="4">
        <v>12243871</v>
      </c>
      <c r="G222" s="4">
        <v>3</v>
      </c>
      <c r="H222" s="4">
        <v>2</v>
      </c>
      <c r="I222" s="4" t="s">
        <v>27</v>
      </c>
      <c r="J222" s="4" t="s">
        <v>23</v>
      </c>
      <c r="K222" s="4" t="s">
        <v>36</v>
      </c>
      <c r="L222" s="9">
        <v>45562</v>
      </c>
      <c r="M222" s="9" t="str">
        <f>TEXT(Source_data[[#This Row],[Listing_Date]],"mmm-yy")</f>
        <v>Sep-24</v>
      </c>
      <c r="N222" s="4">
        <f t="shared" si="3"/>
        <v>10376.16186440678</v>
      </c>
      <c r="O222" s="3" cm="1">
        <f t="array" ref="O222">_xlfn.IFS(AND(K222="Broker",J222="Resale"),F222*0.5,AND(K222="Owner",J222="Resale"),F222*0,AND(K222="Builder",J222="Resale"),F222*0.3,AND(J222="New",K222="Broker"),F222*0.1,AND(J222="New",K222="Owner"),F222*0,AND(J222="New",K222="Builder"),F222*0.5)</f>
        <v>0</v>
      </c>
    </row>
    <row r="223" spans="1:15" x14ac:dyDescent="0.3">
      <c r="A223" s="8" t="s">
        <v>258</v>
      </c>
      <c r="B223" s="4" t="s">
        <v>180</v>
      </c>
      <c r="C223" s="4" t="s">
        <v>197</v>
      </c>
      <c r="D223" s="4">
        <v>2</v>
      </c>
      <c r="E223" s="4">
        <v>1289</v>
      </c>
      <c r="F223" s="4">
        <v>15813935</v>
      </c>
      <c r="G223" s="4">
        <v>2</v>
      </c>
      <c r="H223" s="4">
        <v>1</v>
      </c>
      <c r="I223" s="4" t="s">
        <v>18</v>
      </c>
      <c r="J223" s="4" t="s">
        <v>19</v>
      </c>
      <c r="K223" s="4" t="s">
        <v>36</v>
      </c>
      <c r="L223" s="9">
        <v>44942</v>
      </c>
      <c r="M223" s="9" t="str">
        <f>TEXT(Source_data[[#This Row],[Listing_Date]],"mmm-yy")</f>
        <v>Jan-23</v>
      </c>
      <c r="N223" s="4">
        <f t="shared" si="3"/>
        <v>12268.374709076803</v>
      </c>
      <c r="O223" s="3" cm="1">
        <f t="array" ref="O223">_xlfn.IFS(AND(K223="Broker",J223="Resale"),F223*0.5,AND(K223="Owner",J223="Resale"),F223*0,AND(K223="Builder",J223="Resale"),F223*0.3,AND(J223="New",K223="Broker"),F223*0.1,AND(J223="New",K223="Owner"),F223*0,AND(J223="New",K223="Builder"),F223*0.5)</f>
        <v>0</v>
      </c>
    </row>
    <row r="224" spans="1:15" x14ac:dyDescent="0.3">
      <c r="A224" s="8" t="s">
        <v>259</v>
      </c>
      <c r="B224" s="4" t="s">
        <v>180</v>
      </c>
      <c r="C224" s="4" t="s">
        <v>187</v>
      </c>
      <c r="D224" s="4">
        <v>4</v>
      </c>
      <c r="E224" s="4">
        <v>1977</v>
      </c>
      <c r="F224" s="4">
        <v>26659831</v>
      </c>
      <c r="G224" s="4">
        <v>3</v>
      </c>
      <c r="H224" s="4">
        <v>3</v>
      </c>
      <c r="I224" s="4" t="s">
        <v>27</v>
      </c>
      <c r="J224" s="4" t="s">
        <v>23</v>
      </c>
      <c r="K224" s="4" t="s">
        <v>20</v>
      </c>
      <c r="L224" s="9">
        <v>45050</v>
      </c>
      <c r="M224" s="9" t="str">
        <f>TEXT(Source_data[[#This Row],[Listing_Date]],"mmm-yy")</f>
        <v>May-23</v>
      </c>
      <c r="N224" s="4">
        <f t="shared" si="3"/>
        <v>13484.992918563479</v>
      </c>
      <c r="O224" s="3" cm="1">
        <f t="array" ref="O224">_xlfn.IFS(AND(K224="Broker",J224="Resale"),F224*0.5,AND(K224="Owner",J224="Resale"),F224*0,AND(K224="Builder",J224="Resale"),F224*0.3,AND(J224="New",K224="Broker"),F224*0.1,AND(J224="New",K224="Owner"),F224*0,AND(J224="New",K224="Builder"),F224*0.5)</f>
        <v>13329915.5</v>
      </c>
    </row>
    <row r="225" spans="1:15" x14ac:dyDescent="0.3">
      <c r="A225" s="8" t="s">
        <v>260</v>
      </c>
      <c r="B225" s="4" t="s">
        <v>180</v>
      </c>
      <c r="C225" s="4" t="s">
        <v>192</v>
      </c>
      <c r="D225" s="4">
        <v>2</v>
      </c>
      <c r="E225" s="4">
        <v>1097</v>
      </c>
      <c r="F225" s="4">
        <v>14376774</v>
      </c>
      <c r="G225" s="4">
        <v>3</v>
      </c>
      <c r="H225" s="4">
        <v>0</v>
      </c>
      <c r="I225" s="4" t="s">
        <v>8</v>
      </c>
      <c r="J225" s="4" t="s">
        <v>23</v>
      </c>
      <c r="K225" s="4" t="s">
        <v>24</v>
      </c>
      <c r="L225" s="9">
        <v>45782</v>
      </c>
      <c r="M225" s="9" t="str">
        <f>TEXT(Source_data[[#This Row],[Listing_Date]],"mmm-yy")</f>
        <v>May-25</v>
      </c>
      <c r="N225" s="4">
        <f t="shared" si="3"/>
        <v>13105.536918869644</v>
      </c>
      <c r="O225" s="3" cm="1">
        <f t="array" ref="O225">_xlfn.IFS(AND(K225="Broker",J225="Resale"),F225*0.5,AND(K225="Owner",J225="Resale"),F225*0,AND(K225="Builder",J225="Resale"),F225*0.3,AND(J225="New",K225="Broker"),F225*0.1,AND(J225="New",K225="Owner"),F225*0,AND(J225="New",K225="Builder"),F225*0.5)</f>
        <v>4313032.2</v>
      </c>
    </row>
    <row r="226" spans="1:15" x14ac:dyDescent="0.3">
      <c r="A226" s="8" t="s">
        <v>261</v>
      </c>
      <c r="B226" s="4" t="s">
        <v>180</v>
      </c>
      <c r="C226" s="4" t="s">
        <v>183</v>
      </c>
      <c r="D226" s="4">
        <v>2</v>
      </c>
      <c r="E226" s="4">
        <v>962</v>
      </c>
      <c r="F226" s="4">
        <v>10903765</v>
      </c>
      <c r="G226" s="4">
        <v>2</v>
      </c>
      <c r="H226" s="4">
        <v>0</v>
      </c>
      <c r="I226" s="4" t="s">
        <v>27</v>
      </c>
      <c r="J226" s="4" t="s">
        <v>19</v>
      </c>
      <c r="K226" s="4" t="s">
        <v>20</v>
      </c>
      <c r="L226" s="9">
        <v>45606</v>
      </c>
      <c r="M226" s="9" t="str">
        <f>TEXT(Source_data[[#This Row],[Listing_Date]],"mmm-yy")</f>
        <v>Nov-24</v>
      </c>
      <c r="N226" s="4">
        <f t="shared" si="3"/>
        <v>11334.475051975052</v>
      </c>
      <c r="O226" s="3" cm="1">
        <f t="array" ref="O226">_xlfn.IFS(AND(K226="Broker",J226="Resale"),F226*0.5,AND(K226="Owner",J226="Resale"),F226*0,AND(K226="Builder",J226="Resale"),F226*0.3,AND(J226="New",K226="Broker"),F226*0.1,AND(J226="New",K226="Owner"),F226*0,AND(J226="New",K226="Builder"),F226*0.5)</f>
        <v>1090376.5</v>
      </c>
    </row>
    <row r="227" spans="1:15" x14ac:dyDescent="0.3">
      <c r="A227" s="8" t="s">
        <v>262</v>
      </c>
      <c r="B227" s="4" t="s">
        <v>180</v>
      </c>
      <c r="C227" s="4" t="s">
        <v>187</v>
      </c>
      <c r="D227" s="4">
        <v>3</v>
      </c>
      <c r="E227" s="4">
        <v>770</v>
      </c>
      <c r="F227" s="4">
        <v>8684121</v>
      </c>
      <c r="G227" s="4">
        <v>2</v>
      </c>
      <c r="H227" s="4">
        <v>2</v>
      </c>
      <c r="I227" s="4" t="s">
        <v>18</v>
      </c>
      <c r="J227" s="4" t="s">
        <v>23</v>
      </c>
      <c r="K227" s="4" t="s">
        <v>24</v>
      </c>
      <c r="L227" s="9">
        <v>45193</v>
      </c>
      <c r="M227" s="9" t="str">
        <f>TEXT(Source_data[[#This Row],[Listing_Date]],"mmm-yy")</f>
        <v>Sep-23</v>
      </c>
      <c r="N227" s="4">
        <f t="shared" si="3"/>
        <v>11278.07922077922</v>
      </c>
      <c r="O227" s="3" cm="1">
        <f t="array" ref="O227">_xlfn.IFS(AND(K227="Broker",J227="Resale"),F227*0.5,AND(K227="Owner",J227="Resale"),F227*0,AND(K227="Builder",J227="Resale"),F227*0.3,AND(J227="New",K227="Broker"),F227*0.1,AND(J227="New",K227="Owner"),F227*0,AND(J227="New",K227="Builder"),F227*0.5)</f>
        <v>2605236.2999999998</v>
      </c>
    </row>
    <row r="228" spans="1:15" x14ac:dyDescent="0.3">
      <c r="A228" s="8" t="s">
        <v>263</v>
      </c>
      <c r="B228" s="4" t="s">
        <v>180</v>
      </c>
      <c r="C228" s="4" t="s">
        <v>183</v>
      </c>
      <c r="D228" s="4">
        <v>2</v>
      </c>
      <c r="E228" s="4">
        <v>961</v>
      </c>
      <c r="F228" s="4">
        <v>13296483</v>
      </c>
      <c r="G228" s="4">
        <v>1</v>
      </c>
      <c r="H228" s="4">
        <v>1</v>
      </c>
      <c r="I228" s="4" t="s">
        <v>8</v>
      </c>
      <c r="J228" s="4" t="s">
        <v>23</v>
      </c>
      <c r="K228" s="4" t="s">
        <v>36</v>
      </c>
      <c r="L228" s="9">
        <v>44936</v>
      </c>
      <c r="M228" s="9" t="str">
        <f>TEXT(Source_data[[#This Row],[Listing_Date]],"mmm-yy")</f>
        <v>Jan-23</v>
      </c>
      <c r="N228" s="4">
        <f t="shared" si="3"/>
        <v>13836.090530697191</v>
      </c>
      <c r="O228" s="3" cm="1">
        <f t="array" ref="O228">_xlfn.IFS(AND(K228="Broker",J228="Resale"),F228*0.5,AND(K228="Owner",J228="Resale"),F228*0,AND(K228="Builder",J228="Resale"),F228*0.3,AND(J228="New",K228="Broker"),F228*0.1,AND(J228="New",K228="Owner"),F228*0,AND(J228="New",K228="Builder"),F228*0.5)</f>
        <v>0</v>
      </c>
    </row>
    <row r="229" spans="1:15" x14ac:dyDescent="0.3">
      <c r="A229" s="8" t="s">
        <v>264</v>
      </c>
      <c r="B229" s="4" t="s">
        <v>180</v>
      </c>
      <c r="C229" s="4" t="s">
        <v>181</v>
      </c>
      <c r="D229" s="4">
        <v>2</v>
      </c>
      <c r="E229" s="4">
        <v>1250</v>
      </c>
      <c r="F229" s="4">
        <v>13369385</v>
      </c>
      <c r="G229" s="4">
        <v>2</v>
      </c>
      <c r="H229" s="4">
        <v>3</v>
      </c>
      <c r="I229" s="4" t="s">
        <v>27</v>
      </c>
      <c r="J229" s="4" t="s">
        <v>19</v>
      </c>
      <c r="K229" s="4" t="s">
        <v>36</v>
      </c>
      <c r="L229" s="9">
        <v>45154</v>
      </c>
      <c r="M229" s="9" t="str">
        <f>TEXT(Source_data[[#This Row],[Listing_Date]],"mmm-yy")</f>
        <v>Aug-23</v>
      </c>
      <c r="N229" s="4">
        <f t="shared" si="3"/>
        <v>10695.508</v>
      </c>
      <c r="O229" s="3" cm="1">
        <f t="array" ref="O229">_xlfn.IFS(AND(K229="Broker",J229="Resale"),F229*0.5,AND(K229="Owner",J229="Resale"),F229*0,AND(K229="Builder",J229="Resale"),F229*0.3,AND(J229="New",K229="Broker"),F229*0.1,AND(J229="New",K229="Owner"),F229*0,AND(J229="New",K229="Builder"),F229*0.5)</f>
        <v>0</v>
      </c>
    </row>
    <row r="230" spans="1:15" x14ac:dyDescent="0.3">
      <c r="A230" s="8" t="s">
        <v>265</v>
      </c>
      <c r="B230" s="4" t="s">
        <v>180</v>
      </c>
      <c r="C230" s="4" t="s">
        <v>185</v>
      </c>
      <c r="D230" s="4">
        <v>3</v>
      </c>
      <c r="E230" s="4">
        <v>1204</v>
      </c>
      <c r="F230" s="4">
        <v>12066956</v>
      </c>
      <c r="G230" s="4">
        <v>2</v>
      </c>
      <c r="H230" s="4">
        <v>2</v>
      </c>
      <c r="I230" s="4" t="s">
        <v>8</v>
      </c>
      <c r="J230" s="4" t="s">
        <v>19</v>
      </c>
      <c r="K230" s="4" t="s">
        <v>24</v>
      </c>
      <c r="L230" s="9">
        <v>45077</v>
      </c>
      <c r="M230" s="9" t="str">
        <f>TEXT(Source_data[[#This Row],[Listing_Date]],"mmm-yy")</f>
        <v>May-23</v>
      </c>
      <c r="N230" s="4">
        <f t="shared" si="3"/>
        <v>10022.388704318937</v>
      </c>
      <c r="O230" s="3" cm="1">
        <f t="array" ref="O230">_xlfn.IFS(AND(K230="Broker",J230="Resale"),F230*0.5,AND(K230="Owner",J230="Resale"),F230*0,AND(K230="Builder",J230="Resale"),F230*0.3,AND(J230="New",K230="Broker"),F230*0.1,AND(J230="New",K230="Owner"),F230*0,AND(J230="New",K230="Builder"),F230*0.5)</f>
        <v>6033478</v>
      </c>
    </row>
    <row r="231" spans="1:15" x14ac:dyDescent="0.3">
      <c r="A231" s="8" t="s">
        <v>266</v>
      </c>
      <c r="B231" s="4" t="s">
        <v>180</v>
      </c>
      <c r="C231" s="4" t="s">
        <v>185</v>
      </c>
      <c r="D231" s="4">
        <v>2</v>
      </c>
      <c r="E231" s="4">
        <v>803</v>
      </c>
      <c r="F231" s="4">
        <v>10122003</v>
      </c>
      <c r="G231" s="4">
        <v>2</v>
      </c>
      <c r="H231" s="4">
        <v>3</v>
      </c>
      <c r="I231" s="4" t="s">
        <v>18</v>
      </c>
      <c r="J231" s="4" t="s">
        <v>23</v>
      </c>
      <c r="K231" s="4" t="s">
        <v>20</v>
      </c>
      <c r="L231" s="9">
        <v>45806</v>
      </c>
      <c r="M231" s="9" t="str">
        <f>TEXT(Source_data[[#This Row],[Listing_Date]],"mmm-yy")</f>
        <v>May-25</v>
      </c>
      <c r="N231" s="4">
        <f t="shared" si="3"/>
        <v>12605.23412204234</v>
      </c>
      <c r="O231" s="3" cm="1">
        <f t="array" ref="O231">_xlfn.IFS(AND(K231="Broker",J231="Resale"),F231*0.5,AND(K231="Owner",J231="Resale"),F231*0,AND(K231="Builder",J231="Resale"),F231*0.3,AND(J231="New",K231="Broker"),F231*0.1,AND(J231="New",K231="Owner"),F231*0,AND(J231="New",K231="Builder"),F231*0.5)</f>
        <v>5061001.5</v>
      </c>
    </row>
    <row r="232" spans="1:15" x14ac:dyDescent="0.3">
      <c r="A232" s="8" t="s">
        <v>267</v>
      </c>
      <c r="B232" s="4" t="s">
        <v>180</v>
      </c>
      <c r="C232" s="4" t="s">
        <v>185</v>
      </c>
      <c r="D232" s="4">
        <v>2</v>
      </c>
      <c r="E232" s="4">
        <v>677</v>
      </c>
      <c r="F232" s="4">
        <v>6788656</v>
      </c>
      <c r="G232" s="4">
        <v>2</v>
      </c>
      <c r="H232" s="4">
        <v>3</v>
      </c>
      <c r="I232" s="4" t="s">
        <v>8</v>
      </c>
      <c r="J232" s="4" t="s">
        <v>23</v>
      </c>
      <c r="K232" s="4" t="s">
        <v>36</v>
      </c>
      <c r="L232" s="9">
        <v>45098</v>
      </c>
      <c r="M232" s="9" t="str">
        <f>TEXT(Source_data[[#This Row],[Listing_Date]],"mmm-yy")</f>
        <v>Jun-23</v>
      </c>
      <c r="N232" s="4">
        <f t="shared" si="3"/>
        <v>10027.556868537666</v>
      </c>
      <c r="O232" s="3" cm="1">
        <f t="array" ref="O232">_xlfn.IFS(AND(K232="Broker",J232="Resale"),F232*0.5,AND(K232="Owner",J232="Resale"),F232*0,AND(K232="Builder",J232="Resale"),F232*0.3,AND(J232="New",K232="Broker"),F232*0.1,AND(J232="New",K232="Owner"),F232*0,AND(J232="New",K232="Builder"),F232*0.5)</f>
        <v>0</v>
      </c>
    </row>
    <row r="233" spans="1:15" x14ac:dyDescent="0.3">
      <c r="A233" s="8" t="s">
        <v>268</v>
      </c>
      <c r="B233" s="4" t="s">
        <v>180</v>
      </c>
      <c r="C233" s="4" t="s">
        <v>181</v>
      </c>
      <c r="D233" s="4">
        <v>2</v>
      </c>
      <c r="E233" s="4">
        <v>932</v>
      </c>
      <c r="F233" s="4">
        <v>8892989</v>
      </c>
      <c r="G233" s="4">
        <v>2</v>
      </c>
      <c r="H233" s="4">
        <v>2</v>
      </c>
      <c r="I233" s="4" t="s">
        <v>27</v>
      </c>
      <c r="J233" s="4" t="s">
        <v>19</v>
      </c>
      <c r="K233" s="4" t="s">
        <v>20</v>
      </c>
      <c r="L233" s="9">
        <v>45400</v>
      </c>
      <c r="M233" s="9" t="str">
        <f>TEXT(Source_data[[#This Row],[Listing_Date]],"mmm-yy")</f>
        <v>Apr-24</v>
      </c>
      <c r="N233" s="4">
        <f t="shared" si="3"/>
        <v>9541.833690987125</v>
      </c>
      <c r="O233" s="3" cm="1">
        <f t="array" ref="O233">_xlfn.IFS(AND(K233="Broker",J233="Resale"),F233*0.5,AND(K233="Owner",J233="Resale"),F233*0,AND(K233="Builder",J233="Resale"),F233*0.3,AND(J233="New",K233="Broker"),F233*0.1,AND(J233="New",K233="Owner"),F233*0,AND(J233="New",K233="Builder"),F233*0.5)</f>
        <v>889298.9</v>
      </c>
    </row>
    <row r="234" spans="1:15" x14ac:dyDescent="0.3">
      <c r="A234" s="8" t="s">
        <v>269</v>
      </c>
      <c r="B234" s="4" t="s">
        <v>180</v>
      </c>
      <c r="C234" s="4" t="s">
        <v>197</v>
      </c>
      <c r="D234" s="4">
        <v>2</v>
      </c>
      <c r="E234" s="4">
        <v>847</v>
      </c>
      <c r="F234" s="4">
        <v>11334941</v>
      </c>
      <c r="G234" s="4">
        <v>2</v>
      </c>
      <c r="H234" s="4">
        <v>3</v>
      </c>
      <c r="I234" s="4" t="s">
        <v>8</v>
      </c>
      <c r="J234" s="4" t="s">
        <v>19</v>
      </c>
      <c r="K234" s="4" t="s">
        <v>24</v>
      </c>
      <c r="L234" s="9">
        <v>45072</v>
      </c>
      <c r="M234" s="9" t="str">
        <f>TEXT(Source_data[[#This Row],[Listing_Date]],"mmm-yy")</f>
        <v>May-23</v>
      </c>
      <c r="N234" s="4">
        <f t="shared" si="3"/>
        <v>13382.456906729634</v>
      </c>
      <c r="O234" s="3" cm="1">
        <f t="array" ref="O234">_xlfn.IFS(AND(K234="Broker",J234="Resale"),F234*0.5,AND(K234="Owner",J234="Resale"),F234*0,AND(K234="Builder",J234="Resale"),F234*0.3,AND(J234="New",K234="Broker"),F234*0.1,AND(J234="New",K234="Owner"),F234*0,AND(J234="New",K234="Builder"),F234*0.5)</f>
        <v>5667470.5</v>
      </c>
    </row>
    <row r="235" spans="1:15" x14ac:dyDescent="0.3">
      <c r="A235" s="8" t="s">
        <v>270</v>
      </c>
      <c r="B235" s="4" t="s">
        <v>180</v>
      </c>
      <c r="C235" s="4" t="s">
        <v>197</v>
      </c>
      <c r="D235" s="4">
        <v>1</v>
      </c>
      <c r="E235" s="4">
        <v>1204</v>
      </c>
      <c r="F235" s="4">
        <v>12066956</v>
      </c>
      <c r="G235" s="4">
        <v>2</v>
      </c>
      <c r="H235" s="4">
        <v>2</v>
      </c>
      <c r="I235" s="4" t="s">
        <v>8</v>
      </c>
      <c r="J235" s="4" t="s">
        <v>19</v>
      </c>
      <c r="K235" s="4" t="s">
        <v>24</v>
      </c>
      <c r="L235" s="9">
        <v>45192</v>
      </c>
      <c r="M235" s="9" t="str">
        <f>TEXT(Source_data[[#This Row],[Listing_Date]],"mmm-yy")</f>
        <v>Sep-23</v>
      </c>
      <c r="N235" s="4">
        <f t="shared" si="3"/>
        <v>10022.388704318937</v>
      </c>
      <c r="O235" s="3" cm="1">
        <f t="array" ref="O235">_xlfn.IFS(AND(K235="Broker",J235="Resale"),F235*0.5,AND(K235="Owner",J235="Resale"),F235*0,AND(K235="Builder",J235="Resale"),F235*0.3,AND(J235="New",K235="Broker"),F235*0.1,AND(J235="New",K235="Owner"),F235*0,AND(J235="New",K235="Builder"),F235*0.5)</f>
        <v>6033478</v>
      </c>
    </row>
    <row r="236" spans="1:15" x14ac:dyDescent="0.3">
      <c r="A236" s="8" t="s">
        <v>271</v>
      </c>
      <c r="B236" s="4" t="s">
        <v>180</v>
      </c>
      <c r="C236" s="4" t="s">
        <v>185</v>
      </c>
      <c r="D236" s="4">
        <v>3</v>
      </c>
      <c r="E236" s="4">
        <v>1295</v>
      </c>
      <c r="F236" s="4">
        <v>13923071</v>
      </c>
      <c r="G236" s="4">
        <v>3</v>
      </c>
      <c r="H236" s="4">
        <v>1</v>
      </c>
      <c r="I236" s="4" t="s">
        <v>18</v>
      </c>
      <c r="J236" s="4" t="s">
        <v>23</v>
      </c>
      <c r="K236" s="4" t="s">
        <v>20</v>
      </c>
      <c r="L236" s="9">
        <v>45240</v>
      </c>
      <c r="M236" s="9" t="str">
        <f>TEXT(Source_data[[#This Row],[Listing_Date]],"mmm-yy")</f>
        <v>Nov-23</v>
      </c>
      <c r="N236" s="4">
        <f t="shared" si="3"/>
        <v>10751.406177606177</v>
      </c>
      <c r="O236" s="3" cm="1">
        <f t="array" ref="O236">_xlfn.IFS(AND(K236="Broker",J236="Resale"),F236*0.5,AND(K236="Owner",J236="Resale"),F236*0,AND(K236="Builder",J236="Resale"),F236*0.3,AND(J236="New",K236="Broker"),F236*0.1,AND(J236="New",K236="Owner"),F236*0,AND(J236="New",K236="Builder"),F236*0.5)</f>
        <v>6961535.5</v>
      </c>
    </row>
    <row r="237" spans="1:15" x14ac:dyDescent="0.3">
      <c r="A237" s="8" t="s">
        <v>272</v>
      </c>
      <c r="B237" s="4" t="s">
        <v>180</v>
      </c>
      <c r="C237" s="4" t="s">
        <v>181</v>
      </c>
      <c r="D237" s="4">
        <v>4</v>
      </c>
      <c r="E237" s="4">
        <v>1361</v>
      </c>
      <c r="F237" s="4">
        <v>18192993</v>
      </c>
      <c r="G237" s="4">
        <v>3</v>
      </c>
      <c r="H237" s="4">
        <v>1</v>
      </c>
      <c r="I237" s="4" t="s">
        <v>18</v>
      </c>
      <c r="J237" s="4" t="s">
        <v>19</v>
      </c>
      <c r="K237" s="4" t="s">
        <v>24</v>
      </c>
      <c r="L237" s="9">
        <v>45372</v>
      </c>
      <c r="M237" s="9" t="str">
        <f>TEXT(Source_data[[#This Row],[Listing_Date]],"mmm-yy")</f>
        <v>Mar-24</v>
      </c>
      <c r="N237" s="4">
        <f t="shared" si="3"/>
        <v>13367.371785451875</v>
      </c>
      <c r="O237" s="3" cm="1">
        <f t="array" ref="O237">_xlfn.IFS(AND(K237="Broker",J237="Resale"),F237*0.5,AND(K237="Owner",J237="Resale"),F237*0,AND(K237="Builder",J237="Resale"),F237*0.3,AND(J237="New",K237="Broker"),F237*0.1,AND(J237="New",K237="Owner"),F237*0,AND(J237="New",K237="Builder"),F237*0.5)</f>
        <v>9096496.5</v>
      </c>
    </row>
    <row r="238" spans="1:15" x14ac:dyDescent="0.3">
      <c r="A238" s="8" t="s">
        <v>273</v>
      </c>
      <c r="B238" s="4" t="s">
        <v>180</v>
      </c>
      <c r="C238" s="4" t="s">
        <v>183</v>
      </c>
      <c r="D238" s="4">
        <v>1</v>
      </c>
      <c r="E238" s="4">
        <v>692</v>
      </c>
      <c r="F238" s="4">
        <v>8944015</v>
      </c>
      <c r="G238" s="4">
        <v>1</v>
      </c>
      <c r="H238" s="4">
        <v>2</v>
      </c>
      <c r="I238" s="4" t="s">
        <v>8</v>
      </c>
      <c r="J238" s="4" t="s">
        <v>23</v>
      </c>
      <c r="K238" s="4" t="s">
        <v>36</v>
      </c>
      <c r="L238" s="9">
        <v>44987</v>
      </c>
      <c r="M238" s="9" t="str">
        <f>TEXT(Source_data[[#This Row],[Listing_Date]],"mmm-yy")</f>
        <v>Mar-23</v>
      </c>
      <c r="N238" s="4">
        <f t="shared" si="3"/>
        <v>12924.877167630058</v>
      </c>
      <c r="O238" s="3" cm="1">
        <f t="array" ref="O238">_xlfn.IFS(AND(K238="Broker",J238="Resale"),F238*0.5,AND(K238="Owner",J238="Resale"),F238*0,AND(K238="Builder",J238="Resale"),F238*0.3,AND(J238="New",K238="Broker"),F238*0.1,AND(J238="New",K238="Owner"),F238*0,AND(J238="New",K238="Builder"),F238*0.5)</f>
        <v>0</v>
      </c>
    </row>
    <row r="239" spans="1:15" x14ac:dyDescent="0.3">
      <c r="A239" s="8" t="s">
        <v>274</v>
      </c>
      <c r="B239" s="4" t="s">
        <v>180</v>
      </c>
      <c r="C239" s="4" t="s">
        <v>192</v>
      </c>
      <c r="D239" s="4">
        <v>2</v>
      </c>
      <c r="E239" s="4">
        <v>1012</v>
      </c>
      <c r="F239" s="4">
        <v>10892497</v>
      </c>
      <c r="G239" s="4">
        <v>2</v>
      </c>
      <c r="H239" s="4">
        <v>2</v>
      </c>
      <c r="I239" s="4" t="s">
        <v>18</v>
      </c>
      <c r="J239" s="4" t="s">
        <v>23</v>
      </c>
      <c r="K239" s="4" t="s">
        <v>24</v>
      </c>
      <c r="L239" s="9">
        <v>45823</v>
      </c>
      <c r="M239" s="9" t="str">
        <f>TEXT(Source_data[[#This Row],[Listing_Date]],"mmm-yy")</f>
        <v>Jun-25</v>
      </c>
      <c r="N239" s="4">
        <f t="shared" si="3"/>
        <v>10763.33695652174</v>
      </c>
      <c r="O239" s="3" cm="1">
        <f t="array" ref="O239">_xlfn.IFS(AND(K239="Broker",J239="Resale"),F239*0.5,AND(K239="Owner",J239="Resale"),F239*0,AND(K239="Builder",J239="Resale"),F239*0.3,AND(J239="New",K239="Broker"),F239*0.1,AND(J239="New",K239="Owner"),F239*0,AND(J239="New",K239="Builder"),F239*0.5)</f>
        <v>3267749.1</v>
      </c>
    </row>
    <row r="240" spans="1:15" x14ac:dyDescent="0.3">
      <c r="A240" s="8" t="s">
        <v>275</v>
      </c>
      <c r="B240" s="4" t="s">
        <v>180</v>
      </c>
      <c r="C240" s="4" t="s">
        <v>183</v>
      </c>
      <c r="D240" s="4">
        <v>3</v>
      </c>
      <c r="E240" s="4">
        <v>944</v>
      </c>
      <c r="F240" s="4">
        <v>9889345</v>
      </c>
      <c r="G240" s="4">
        <v>3</v>
      </c>
      <c r="H240" s="4">
        <v>2</v>
      </c>
      <c r="I240" s="4" t="s">
        <v>8</v>
      </c>
      <c r="J240" s="4" t="s">
        <v>19</v>
      </c>
      <c r="K240" s="4" t="s">
        <v>24</v>
      </c>
      <c r="L240" s="9">
        <v>44973</v>
      </c>
      <c r="M240" s="9" t="str">
        <f>TEXT(Source_data[[#This Row],[Listing_Date]],"mmm-yy")</f>
        <v>Feb-23</v>
      </c>
      <c r="N240" s="4">
        <f t="shared" si="3"/>
        <v>10476.001059322034</v>
      </c>
      <c r="O240" s="3" cm="1">
        <f t="array" ref="O240">_xlfn.IFS(AND(K240="Broker",J240="Resale"),F240*0.5,AND(K240="Owner",J240="Resale"),F240*0,AND(K240="Builder",J240="Resale"),F240*0.3,AND(J240="New",K240="Broker"),F240*0.1,AND(J240="New",K240="Owner"),F240*0,AND(J240="New",K240="Builder"),F240*0.5)</f>
        <v>4944672.5</v>
      </c>
    </row>
    <row r="241" spans="1:15" x14ac:dyDescent="0.3">
      <c r="A241" s="8" t="s">
        <v>276</v>
      </c>
      <c r="B241" s="4" t="s">
        <v>180</v>
      </c>
      <c r="C241" s="4" t="s">
        <v>181</v>
      </c>
      <c r="D241" s="4">
        <v>1</v>
      </c>
      <c r="E241" s="4">
        <v>608</v>
      </c>
      <c r="F241" s="4">
        <v>7210201</v>
      </c>
      <c r="G241" s="4">
        <v>1</v>
      </c>
      <c r="H241" s="4">
        <v>1</v>
      </c>
      <c r="I241" s="4" t="s">
        <v>27</v>
      </c>
      <c r="J241" s="4" t="s">
        <v>19</v>
      </c>
      <c r="K241" s="4" t="s">
        <v>20</v>
      </c>
      <c r="L241" s="9">
        <v>45533</v>
      </c>
      <c r="M241" s="9" t="str">
        <f>TEXT(Source_data[[#This Row],[Listing_Date]],"mmm-yy")</f>
        <v>Aug-24</v>
      </c>
      <c r="N241" s="4">
        <f t="shared" si="3"/>
        <v>11858.88322368421</v>
      </c>
      <c r="O241" s="3" cm="1">
        <f t="array" ref="O241">_xlfn.IFS(AND(K241="Broker",J241="Resale"),F241*0.5,AND(K241="Owner",J241="Resale"),F241*0,AND(K241="Builder",J241="Resale"),F241*0.3,AND(J241="New",K241="Broker"),F241*0.1,AND(J241="New",K241="Owner"),F241*0,AND(J241="New",K241="Builder"),F241*0.5)</f>
        <v>721020.10000000009</v>
      </c>
    </row>
    <row r="242" spans="1:15" x14ac:dyDescent="0.3">
      <c r="A242" s="8" t="s">
        <v>277</v>
      </c>
      <c r="B242" s="4" t="s">
        <v>180</v>
      </c>
      <c r="C242" s="4" t="s">
        <v>192</v>
      </c>
      <c r="D242" s="4">
        <v>3</v>
      </c>
      <c r="E242" s="4">
        <v>1172</v>
      </c>
      <c r="F242" s="4">
        <v>12270458</v>
      </c>
      <c r="G242" s="4">
        <v>3</v>
      </c>
      <c r="H242" s="4">
        <v>1</v>
      </c>
      <c r="I242" s="4" t="s">
        <v>8</v>
      </c>
      <c r="J242" s="4" t="s">
        <v>23</v>
      </c>
      <c r="K242" s="4" t="s">
        <v>20</v>
      </c>
      <c r="L242" s="9">
        <v>45703</v>
      </c>
      <c r="M242" s="9" t="str">
        <f>TEXT(Source_data[[#This Row],[Listing_Date]],"mmm-yy")</f>
        <v>Feb-25</v>
      </c>
      <c r="N242" s="4">
        <f t="shared" si="3"/>
        <v>10469.674061433447</v>
      </c>
      <c r="O242" s="3" cm="1">
        <f t="array" ref="O242">_xlfn.IFS(AND(K242="Broker",J242="Resale"),F242*0.5,AND(K242="Owner",J242="Resale"),F242*0,AND(K242="Builder",J242="Resale"),F242*0.3,AND(J242="New",K242="Broker"),F242*0.1,AND(J242="New",K242="Owner"),F242*0,AND(J242="New",K242="Builder"),F242*0.5)</f>
        <v>6135229</v>
      </c>
    </row>
    <row r="243" spans="1:15" x14ac:dyDescent="0.3">
      <c r="A243" s="8" t="s">
        <v>278</v>
      </c>
      <c r="B243" s="4" t="s">
        <v>180</v>
      </c>
      <c r="C243" s="4" t="s">
        <v>185</v>
      </c>
      <c r="D243" s="4">
        <v>2</v>
      </c>
      <c r="E243" s="4">
        <v>1008</v>
      </c>
      <c r="F243" s="4">
        <v>11188657</v>
      </c>
      <c r="G243" s="4">
        <v>3</v>
      </c>
      <c r="H243" s="4">
        <v>2</v>
      </c>
      <c r="I243" s="4" t="s">
        <v>18</v>
      </c>
      <c r="J243" s="4" t="s">
        <v>23</v>
      </c>
      <c r="K243" s="4" t="s">
        <v>24</v>
      </c>
      <c r="L243" s="9">
        <v>45846</v>
      </c>
      <c r="M243" s="9" t="str">
        <f>TEXT(Source_data[[#This Row],[Listing_Date]],"mmm-yy")</f>
        <v>Jul-25</v>
      </c>
      <c r="N243" s="4">
        <f t="shared" si="3"/>
        <v>11099.858134920634</v>
      </c>
      <c r="O243" s="3" cm="1">
        <f t="array" ref="O243">_xlfn.IFS(AND(K243="Broker",J243="Resale"),F243*0.5,AND(K243="Owner",J243="Resale"),F243*0,AND(K243="Builder",J243="Resale"),F243*0.3,AND(J243="New",K243="Broker"),F243*0.1,AND(J243="New",K243="Owner"),F243*0,AND(J243="New",K243="Builder"),F243*0.5)</f>
        <v>3356597.1</v>
      </c>
    </row>
    <row r="244" spans="1:15" x14ac:dyDescent="0.3">
      <c r="A244" s="8" t="s">
        <v>279</v>
      </c>
      <c r="B244" s="4" t="s">
        <v>180</v>
      </c>
      <c r="C244" s="4" t="s">
        <v>181</v>
      </c>
      <c r="D244" s="4">
        <v>2</v>
      </c>
      <c r="E244" s="4">
        <v>1202</v>
      </c>
      <c r="F244" s="4">
        <v>9144411</v>
      </c>
      <c r="G244" s="4">
        <v>2</v>
      </c>
      <c r="H244" s="4">
        <v>2</v>
      </c>
      <c r="I244" s="4" t="s">
        <v>8</v>
      </c>
      <c r="J244" s="4" t="s">
        <v>19</v>
      </c>
      <c r="K244" s="4" t="s">
        <v>24</v>
      </c>
      <c r="L244" s="9">
        <v>45693</v>
      </c>
      <c r="M244" s="9" t="str">
        <f>TEXT(Source_data[[#This Row],[Listing_Date]],"mmm-yy")</f>
        <v>Feb-25</v>
      </c>
      <c r="N244" s="4">
        <f t="shared" si="3"/>
        <v>7607.6630615640597</v>
      </c>
      <c r="O244" s="3" cm="1">
        <f t="array" ref="O244">_xlfn.IFS(AND(K244="Broker",J244="Resale"),F244*0.5,AND(K244="Owner",J244="Resale"),F244*0,AND(K244="Builder",J244="Resale"),F244*0.3,AND(J244="New",K244="Broker"),F244*0.1,AND(J244="New",K244="Owner"),F244*0,AND(J244="New",K244="Builder"),F244*0.5)</f>
        <v>4572205.5</v>
      </c>
    </row>
    <row r="245" spans="1:15" x14ac:dyDescent="0.3">
      <c r="A245" s="8" t="s">
        <v>280</v>
      </c>
      <c r="B245" s="4" t="s">
        <v>180</v>
      </c>
      <c r="C245" s="4" t="s">
        <v>197</v>
      </c>
      <c r="D245" s="4">
        <v>2</v>
      </c>
      <c r="E245" s="4">
        <v>1023</v>
      </c>
      <c r="F245" s="4">
        <v>14290027</v>
      </c>
      <c r="G245" s="4">
        <v>4</v>
      </c>
      <c r="H245" s="4">
        <v>3</v>
      </c>
      <c r="I245" s="4" t="s">
        <v>27</v>
      </c>
      <c r="J245" s="4" t="s">
        <v>23</v>
      </c>
      <c r="K245" s="4" t="s">
        <v>24</v>
      </c>
      <c r="L245" s="9">
        <v>44953</v>
      </c>
      <c r="M245" s="9" t="str">
        <f>TEXT(Source_data[[#This Row],[Listing_Date]],"mmm-yy")</f>
        <v>Jan-23</v>
      </c>
      <c r="N245" s="4">
        <f t="shared" si="3"/>
        <v>13968.745845552297</v>
      </c>
      <c r="O245" s="3" cm="1">
        <f t="array" ref="O245">_xlfn.IFS(AND(K245="Broker",J245="Resale"),F245*0.5,AND(K245="Owner",J245="Resale"),F245*0,AND(K245="Builder",J245="Resale"),F245*0.3,AND(J245="New",K245="Broker"),F245*0.1,AND(J245="New",K245="Owner"),F245*0,AND(J245="New",K245="Builder"),F245*0.5)</f>
        <v>4287008.0999999996</v>
      </c>
    </row>
    <row r="246" spans="1:15" x14ac:dyDescent="0.3">
      <c r="A246" s="8" t="s">
        <v>281</v>
      </c>
      <c r="B246" s="4" t="s">
        <v>180</v>
      </c>
      <c r="C246" s="4" t="s">
        <v>197</v>
      </c>
      <c r="D246" s="4">
        <v>2</v>
      </c>
      <c r="E246" s="4">
        <v>770</v>
      </c>
      <c r="F246" s="4">
        <v>9844723</v>
      </c>
      <c r="G246" s="4">
        <v>1</v>
      </c>
      <c r="H246" s="4">
        <v>1</v>
      </c>
      <c r="I246" s="4" t="s">
        <v>27</v>
      </c>
      <c r="J246" s="4" t="s">
        <v>19</v>
      </c>
      <c r="K246" s="4" t="s">
        <v>36</v>
      </c>
      <c r="L246" s="9">
        <v>44985</v>
      </c>
      <c r="M246" s="9" t="str">
        <f>TEXT(Source_data[[#This Row],[Listing_Date]],"mmm-yy")</f>
        <v>Feb-23</v>
      </c>
      <c r="N246" s="4">
        <f t="shared" si="3"/>
        <v>12785.354545454546</v>
      </c>
      <c r="O246" s="3" cm="1">
        <f t="array" ref="O246">_xlfn.IFS(AND(K246="Broker",J246="Resale"),F246*0.5,AND(K246="Owner",J246="Resale"),F246*0,AND(K246="Builder",J246="Resale"),F246*0.3,AND(J246="New",K246="Broker"),F246*0.1,AND(J246="New",K246="Owner"),F246*0,AND(J246="New",K246="Builder"),F246*0.5)</f>
        <v>0</v>
      </c>
    </row>
    <row r="247" spans="1:15" x14ac:dyDescent="0.3">
      <c r="A247" s="8" t="s">
        <v>282</v>
      </c>
      <c r="B247" s="4" t="s">
        <v>180</v>
      </c>
      <c r="C247" s="4" t="s">
        <v>181</v>
      </c>
      <c r="D247" s="4">
        <v>2</v>
      </c>
      <c r="E247" s="4">
        <v>912</v>
      </c>
      <c r="F247" s="4">
        <v>11041687</v>
      </c>
      <c r="G247" s="4">
        <v>2</v>
      </c>
      <c r="H247" s="4">
        <v>2</v>
      </c>
      <c r="I247" s="4" t="s">
        <v>27</v>
      </c>
      <c r="J247" s="4" t="s">
        <v>19</v>
      </c>
      <c r="K247" s="4" t="s">
        <v>36</v>
      </c>
      <c r="L247" s="9">
        <v>45591</v>
      </c>
      <c r="M247" s="9" t="str">
        <f>TEXT(Source_data[[#This Row],[Listing_Date]],"mmm-yy")</f>
        <v>Oct-24</v>
      </c>
      <c r="N247" s="4">
        <f t="shared" si="3"/>
        <v>12107.11293859649</v>
      </c>
      <c r="O247" s="3" cm="1">
        <f t="array" ref="O247">_xlfn.IFS(AND(K247="Broker",J247="Resale"),F247*0.5,AND(K247="Owner",J247="Resale"),F247*0,AND(K247="Builder",J247="Resale"),F247*0.3,AND(J247="New",K247="Broker"),F247*0.1,AND(J247="New",K247="Owner"),F247*0,AND(J247="New",K247="Builder"),F247*0.5)</f>
        <v>0</v>
      </c>
    </row>
    <row r="248" spans="1:15" x14ac:dyDescent="0.3">
      <c r="A248" s="8" t="s">
        <v>283</v>
      </c>
      <c r="B248" s="4" t="s">
        <v>180</v>
      </c>
      <c r="C248" s="4" t="s">
        <v>192</v>
      </c>
      <c r="D248" s="4">
        <v>4</v>
      </c>
      <c r="E248" s="4">
        <v>1751</v>
      </c>
      <c r="F248" s="4">
        <v>22981052</v>
      </c>
      <c r="G248" s="4">
        <v>2</v>
      </c>
      <c r="H248" s="4">
        <v>0</v>
      </c>
      <c r="I248" s="4" t="s">
        <v>67</v>
      </c>
      <c r="J248" s="4" t="s">
        <v>19</v>
      </c>
      <c r="K248" s="4" t="s">
        <v>24</v>
      </c>
      <c r="L248" s="9">
        <v>45100</v>
      </c>
      <c r="M248" s="9" t="str">
        <f>TEXT(Source_data[[#This Row],[Listing_Date]],"mmm-yy")</f>
        <v>Jun-23</v>
      </c>
      <c r="N248" s="4">
        <f t="shared" si="3"/>
        <v>13124.529982866934</v>
      </c>
      <c r="O248" s="3" cm="1">
        <f t="array" ref="O248">_xlfn.IFS(AND(K248="Broker",J248="Resale"),F248*0.5,AND(K248="Owner",J248="Resale"),F248*0,AND(K248="Builder",J248="Resale"),F248*0.3,AND(J248="New",K248="Broker"),F248*0.1,AND(J248="New",K248="Owner"),F248*0,AND(J248="New",K248="Builder"),F248*0.5)</f>
        <v>11490526</v>
      </c>
    </row>
    <row r="249" spans="1:15" x14ac:dyDescent="0.3">
      <c r="A249" s="8" t="s">
        <v>284</v>
      </c>
      <c r="B249" s="4" t="s">
        <v>180</v>
      </c>
      <c r="C249" s="4" t="s">
        <v>192</v>
      </c>
      <c r="D249" s="4">
        <v>2</v>
      </c>
      <c r="E249" s="4">
        <v>1204</v>
      </c>
      <c r="F249" s="4">
        <v>12203221</v>
      </c>
      <c r="G249" s="4">
        <v>2</v>
      </c>
      <c r="H249" s="4">
        <v>2</v>
      </c>
      <c r="I249" s="4" t="s">
        <v>8</v>
      </c>
      <c r="J249" s="4" t="s">
        <v>23</v>
      </c>
      <c r="K249" s="4" t="s">
        <v>24</v>
      </c>
      <c r="L249" s="9">
        <v>45549</v>
      </c>
      <c r="M249" s="9" t="str">
        <f>TEXT(Source_data[[#This Row],[Listing_Date]],"mmm-yy")</f>
        <v>Sep-24</v>
      </c>
      <c r="N249" s="4">
        <f t="shared" si="3"/>
        <v>10135.565614617941</v>
      </c>
      <c r="O249" s="3" cm="1">
        <f t="array" ref="O249">_xlfn.IFS(AND(K249="Broker",J249="Resale"),F249*0.5,AND(K249="Owner",J249="Resale"),F249*0,AND(K249="Builder",J249="Resale"),F249*0.3,AND(J249="New",K249="Broker"),F249*0.1,AND(J249="New",K249="Owner"),F249*0,AND(J249="New",K249="Builder"),F249*0.5)</f>
        <v>3660966.3</v>
      </c>
    </row>
    <row r="250" spans="1:15" x14ac:dyDescent="0.3">
      <c r="A250" s="8" t="s">
        <v>285</v>
      </c>
      <c r="B250" s="4" t="s">
        <v>180</v>
      </c>
      <c r="C250" s="4" t="s">
        <v>197</v>
      </c>
      <c r="D250" s="4">
        <v>1</v>
      </c>
      <c r="E250" s="4">
        <v>754</v>
      </c>
      <c r="F250" s="4">
        <v>9403527</v>
      </c>
      <c r="G250" s="4">
        <v>1</v>
      </c>
      <c r="H250" s="4">
        <v>4</v>
      </c>
      <c r="I250" s="4" t="s">
        <v>8</v>
      </c>
      <c r="J250" s="4" t="s">
        <v>19</v>
      </c>
      <c r="K250" s="4" t="s">
        <v>20</v>
      </c>
      <c r="L250" s="9">
        <v>45174</v>
      </c>
      <c r="M250" s="9" t="str">
        <f>TEXT(Source_data[[#This Row],[Listing_Date]],"mmm-yy")</f>
        <v>Sep-23</v>
      </c>
      <c r="N250" s="4">
        <f t="shared" si="3"/>
        <v>12471.521220159151</v>
      </c>
      <c r="O250" s="3" cm="1">
        <f t="array" ref="O250">_xlfn.IFS(AND(K250="Broker",J250="Resale"),F250*0.5,AND(K250="Owner",J250="Resale"),F250*0,AND(K250="Builder",J250="Resale"),F250*0.3,AND(J250="New",K250="Broker"),F250*0.1,AND(J250="New",K250="Owner"),F250*0,AND(J250="New",K250="Builder"),F250*0.5)</f>
        <v>940352.70000000007</v>
      </c>
    </row>
    <row r="251" spans="1:15" x14ac:dyDescent="0.3">
      <c r="A251" s="8" t="s">
        <v>286</v>
      </c>
      <c r="B251" s="4" t="s">
        <v>180</v>
      </c>
      <c r="C251" s="4" t="s">
        <v>192</v>
      </c>
      <c r="D251" s="4">
        <v>1</v>
      </c>
      <c r="E251" s="4">
        <v>757</v>
      </c>
      <c r="F251" s="4">
        <v>19661309</v>
      </c>
      <c r="G251" s="4">
        <v>1</v>
      </c>
      <c r="H251" s="4">
        <v>0</v>
      </c>
      <c r="I251" s="4" t="s">
        <v>18</v>
      </c>
      <c r="J251" s="4" t="s">
        <v>19</v>
      </c>
      <c r="K251" s="4" t="s">
        <v>36</v>
      </c>
      <c r="L251" s="9">
        <v>45092</v>
      </c>
      <c r="M251" s="9" t="str">
        <f>TEXT(Source_data[[#This Row],[Listing_Date]],"mmm-yy")</f>
        <v>Jun-23</v>
      </c>
      <c r="N251" s="4">
        <f t="shared" si="3"/>
        <v>25972.667107001322</v>
      </c>
      <c r="O251" s="3" cm="1">
        <f t="array" ref="O251">_xlfn.IFS(AND(K251="Broker",J251="Resale"),F251*0.5,AND(K251="Owner",J251="Resale"),F251*0,AND(K251="Builder",J251="Resale"),F251*0.3,AND(J251="New",K251="Broker"),F251*0.1,AND(J251="New",K251="Owner"),F251*0,AND(J251="New",K251="Builder"),F251*0.5)</f>
        <v>0</v>
      </c>
    </row>
    <row r="252" spans="1:15" x14ac:dyDescent="0.3">
      <c r="A252" s="8" t="s">
        <v>287</v>
      </c>
      <c r="B252" s="4" t="s">
        <v>180</v>
      </c>
      <c r="C252" s="4" t="s">
        <v>185</v>
      </c>
      <c r="D252" s="4">
        <v>2</v>
      </c>
      <c r="E252" s="4">
        <v>930</v>
      </c>
      <c r="F252" s="4">
        <v>11842243</v>
      </c>
      <c r="G252" s="4">
        <v>2</v>
      </c>
      <c r="H252" s="4">
        <v>1</v>
      </c>
      <c r="I252" s="4" t="s">
        <v>27</v>
      </c>
      <c r="J252" s="4" t="s">
        <v>23</v>
      </c>
      <c r="K252" s="4" t="s">
        <v>20</v>
      </c>
      <c r="L252" s="9">
        <v>45181</v>
      </c>
      <c r="M252" s="9" t="str">
        <f>TEXT(Source_data[[#This Row],[Listing_Date]],"mmm-yy")</f>
        <v>Sep-23</v>
      </c>
      <c r="N252" s="4">
        <f t="shared" si="3"/>
        <v>12733.594623655914</v>
      </c>
      <c r="O252" s="3" cm="1">
        <f t="array" ref="O252">_xlfn.IFS(AND(K252="Broker",J252="Resale"),F252*0.5,AND(K252="Owner",J252="Resale"),F252*0,AND(K252="Builder",J252="Resale"),F252*0.3,AND(J252="New",K252="Broker"),F252*0.1,AND(J252="New",K252="Owner"),F252*0,AND(J252="New",K252="Builder"),F252*0.5)</f>
        <v>5921121.5</v>
      </c>
    </row>
    <row r="253" spans="1:15" x14ac:dyDescent="0.3">
      <c r="A253" s="8" t="s">
        <v>288</v>
      </c>
      <c r="B253" s="4" t="s">
        <v>180</v>
      </c>
      <c r="C253" s="4" t="s">
        <v>187</v>
      </c>
      <c r="D253" s="4">
        <v>3</v>
      </c>
      <c r="E253" s="4">
        <v>1515</v>
      </c>
      <c r="F253" s="4">
        <v>16770254</v>
      </c>
      <c r="G253" s="4">
        <v>4</v>
      </c>
      <c r="H253" s="4">
        <v>1</v>
      </c>
      <c r="I253" s="4" t="s">
        <v>18</v>
      </c>
      <c r="J253" s="4" t="s">
        <v>23</v>
      </c>
      <c r="K253" s="4" t="s">
        <v>20</v>
      </c>
      <c r="L253" s="9">
        <v>45776</v>
      </c>
      <c r="M253" s="9" t="str">
        <f>TEXT(Source_data[[#This Row],[Listing_Date]],"mmm-yy")</f>
        <v>Apr-25</v>
      </c>
      <c r="N253" s="4">
        <f t="shared" si="3"/>
        <v>11069.474587458746</v>
      </c>
      <c r="O253" s="3" cm="1">
        <f t="array" ref="O253">_xlfn.IFS(AND(K253="Broker",J253="Resale"),F253*0.5,AND(K253="Owner",J253="Resale"),F253*0,AND(K253="Builder",J253="Resale"),F253*0.3,AND(J253="New",K253="Broker"),F253*0.1,AND(J253="New",K253="Owner"),F253*0,AND(J253="New",K253="Builder"),F253*0.5)</f>
        <v>8385127</v>
      </c>
    </row>
    <row r="254" spans="1:15" x14ac:dyDescent="0.3">
      <c r="A254" s="8" t="s">
        <v>289</v>
      </c>
      <c r="B254" s="4" t="s">
        <v>180</v>
      </c>
      <c r="C254" s="4" t="s">
        <v>197</v>
      </c>
      <c r="D254" s="4">
        <v>3</v>
      </c>
      <c r="E254" s="4">
        <v>1454</v>
      </c>
      <c r="F254" s="4">
        <v>16450259</v>
      </c>
      <c r="G254" s="4">
        <v>3</v>
      </c>
      <c r="H254" s="4">
        <v>0</v>
      </c>
      <c r="I254" s="4" t="s">
        <v>27</v>
      </c>
      <c r="J254" s="4" t="s">
        <v>19</v>
      </c>
      <c r="K254" s="4" t="s">
        <v>20</v>
      </c>
      <c r="L254" s="9">
        <v>45653</v>
      </c>
      <c r="M254" s="9" t="str">
        <f>TEXT(Source_data[[#This Row],[Listing_Date]],"mmm-yy")</f>
        <v>Dec-24</v>
      </c>
      <c r="N254" s="4">
        <f t="shared" si="3"/>
        <v>11313.795735900963</v>
      </c>
      <c r="O254" s="3" cm="1">
        <f t="array" ref="O254">_xlfn.IFS(AND(K254="Broker",J254="Resale"),F254*0.5,AND(K254="Owner",J254="Resale"),F254*0,AND(K254="Builder",J254="Resale"),F254*0.3,AND(J254="New",K254="Broker"),F254*0.1,AND(J254="New",K254="Owner"),F254*0,AND(J254="New",K254="Builder"),F254*0.5)</f>
        <v>1645025.9000000001</v>
      </c>
    </row>
    <row r="255" spans="1:15" x14ac:dyDescent="0.3">
      <c r="A255" s="8" t="s">
        <v>290</v>
      </c>
      <c r="B255" s="4" t="s">
        <v>180</v>
      </c>
      <c r="C255" s="4" t="s">
        <v>183</v>
      </c>
      <c r="D255" s="4">
        <v>2</v>
      </c>
      <c r="E255" s="4">
        <v>689</v>
      </c>
      <c r="F255" s="4">
        <v>6526624</v>
      </c>
      <c r="G255" s="4">
        <v>2</v>
      </c>
      <c r="H255" s="4">
        <v>2</v>
      </c>
      <c r="I255" s="4" t="s">
        <v>8</v>
      </c>
      <c r="J255" s="4" t="s">
        <v>23</v>
      </c>
      <c r="K255" s="4" t="s">
        <v>20</v>
      </c>
      <c r="L255" s="9">
        <v>45622</v>
      </c>
      <c r="M255" s="9" t="str">
        <f>TEXT(Source_data[[#This Row],[Listing_Date]],"mmm-yy")</f>
        <v>Nov-24</v>
      </c>
      <c r="N255" s="4">
        <f t="shared" si="3"/>
        <v>9472.6037735849059</v>
      </c>
      <c r="O255" s="3" cm="1">
        <f t="array" ref="O255">_xlfn.IFS(AND(K255="Broker",J255="Resale"),F255*0.5,AND(K255="Owner",J255="Resale"),F255*0,AND(K255="Builder",J255="Resale"),F255*0.3,AND(J255="New",K255="Broker"),F255*0.1,AND(J255="New",K255="Owner"),F255*0,AND(J255="New",K255="Builder"),F255*0.5)</f>
        <v>3263312</v>
      </c>
    </row>
    <row r="256" spans="1:15" x14ac:dyDescent="0.3">
      <c r="A256" s="8" t="s">
        <v>291</v>
      </c>
      <c r="B256" s="4" t="s">
        <v>180</v>
      </c>
      <c r="C256" s="4" t="s">
        <v>192</v>
      </c>
      <c r="D256" s="4">
        <v>4</v>
      </c>
      <c r="E256" s="4">
        <v>1757</v>
      </c>
      <c r="F256" s="4">
        <v>20932313</v>
      </c>
      <c r="G256" s="4">
        <v>4</v>
      </c>
      <c r="H256" s="4">
        <v>4</v>
      </c>
      <c r="I256" s="4" t="s">
        <v>27</v>
      </c>
      <c r="J256" s="4" t="s">
        <v>23</v>
      </c>
      <c r="K256" s="4" t="s">
        <v>36</v>
      </c>
      <c r="L256" s="9">
        <v>45547</v>
      </c>
      <c r="M256" s="9" t="str">
        <f>TEXT(Source_data[[#This Row],[Listing_Date]],"mmm-yy")</f>
        <v>Sep-24</v>
      </c>
      <c r="N256" s="4">
        <f t="shared" si="3"/>
        <v>11913.667046101309</v>
      </c>
      <c r="O256" s="3" cm="1">
        <f t="array" ref="O256">_xlfn.IFS(AND(K256="Broker",J256="Resale"),F256*0.5,AND(K256="Owner",J256="Resale"),F256*0,AND(K256="Builder",J256="Resale"),F256*0.3,AND(J256="New",K256="Broker"),F256*0.1,AND(J256="New",K256="Owner"),F256*0,AND(J256="New",K256="Builder"),F256*0.5)</f>
        <v>0</v>
      </c>
    </row>
    <row r="257" spans="1:15" x14ac:dyDescent="0.3">
      <c r="A257" s="8" t="s">
        <v>292</v>
      </c>
      <c r="B257" s="4" t="s">
        <v>180</v>
      </c>
      <c r="C257" s="4" t="s">
        <v>183</v>
      </c>
      <c r="D257" s="4">
        <v>3</v>
      </c>
      <c r="E257" s="4">
        <v>955</v>
      </c>
      <c r="F257" s="4">
        <v>12318883</v>
      </c>
      <c r="G257" s="4">
        <v>3</v>
      </c>
      <c r="H257" s="4">
        <v>2</v>
      </c>
      <c r="I257" s="4" t="s">
        <v>18</v>
      </c>
      <c r="J257" s="4" t="s">
        <v>19</v>
      </c>
      <c r="K257" s="4" t="s">
        <v>20</v>
      </c>
      <c r="L257" s="9">
        <v>45484</v>
      </c>
      <c r="M257" s="9" t="str">
        <f>TEXT(Source_data[[#This Row],[Listing_Date]],"mmm-yy")</f>
        <v>Jul-24</v>
      </c>
      <c r="N257" s="4">
        <f t="shared" si="3"/>
        <v>12899.353926701571</v>
      </c>
      <c r="O257" s="3" cm="1">
        <f t="array" ref="O257">_xlfn.IFS(AND(K257="Broker",J257="Resale"),F257*0.5,AND(K257="Owner",J257="Resale"),F257*0,AND(K257="Builder",J257="Resale"),F257*0.3,AND(J257="New",K257="Broker"),F257*0.1,AND(J257="New",K257="Owner"),F257*0,AND(J257="New",K257="Builder"),F257*0.5)</f>
        <v>1231888.3</v>
      </c>
    </row>
    <row r="258" spans="1:15" x14ac:dyDescent="0.3">
      <c r="A258" s="8" t="s">
        <v>293</v>
      </c>
      <c r="B258" s="4" t="s">
        <v>180</v>
      </c>
      <c r="C258" s="4" t="s">
        <v>187</v>
      </c>
      <c r="D258" s="4">
        <v>2</v>
      </c>
      <c r="E258" s="4">
        <v>922</v>
      </c>
      <c r="F258" s="4">
        <v>34523753</v>
      </c>
      <c r="G258" s="4">
        <v>2</v>
      </c>
      <c r="H258" s="4">
        <v>1</v>
      </c>
      <c r="I258" s="4" t="s">
        <v>27</v>
      </c>
      <c r="J258" s="4" t="s">
        <v>19</v>
      </c>
      <c r="K258" s="4" t="s">
        <v>36</v>
      </c>
      <c r="L258" s="9">
        <v>45841</v>
      </c>
      <c r="M258" s="9" t="str">
        <f>TEXT(Source_data[[#This Row],[Listing_Date]],"mmm-yy")</f>
        <v>Jul-25</v>
      </c>
      <c r="N258" s="4">
        <f t="shared" si="3"/>
        <v>37444.417570498917</v>
      </c>
      <c r="O258" s="3" cm="1">
        <f t="array" ref="O258">_xlfn.IFS(AND(K258="Broker",J258="Resale"),F258*0.5,AND(K258="Owner",J258="Resale"),F258*0,AND(K258="Builder",J258="Resale"),F258*0.3,AND(J258="New",K258="Broker"),F258*0.1,AND(J258="New",K258="Owner"),F258*0,AND(J258="New",K258="Builder"),F258*0.5)</f>
        <v>0</v>
      </c>
    </row>
    <row r="259" spans="1:15" x14ac:dyDescent="0.3">
      <c r="A259" s="8" t="s">
        <v>294</v>
      </c>
      <c r="B259" s="4" t="s">
        <v>180</v>
      </c>
      <c r="C259" s="4" t="s">
        <v>181</v>
      </c>
      <c r="D259" s="4">
        <v>3</v>
      </c>
      <c r="E259" s="4">
        <v>622</v>
      </c>
      <c r="F259" s="4">
        <v>6145835</v>
      </c>
      <c r="G259" s="4">
        <v>3</v>
      </c>
      <c r="H259" s="4">
        <v>1</v>
      </c>
      <c r="I259" s="4" t="s">
        <v>27</v>
      </c>
      <c r="J259" s="4" t="s">
        <v>19</v>
      </c>
      <c r="K259" s="4" t="s">
        <v>36</v>
      </c>
      <c r="L259" s="9">
        <v>44950</v>
      </c>
      <c r="M259" s="9" t="str">
        <f>TEXT(Source_data[[#This Row],[Listing_Date]],"mmm-yy")</f>
        <v>Jan-23</v>
      </c>
      <c r="N259" s="4">
        <f t="shared" ref="N259:N322" si="4">F259/E259</f>
        <v>9880.7636655948554</v>
      </c>
      <c r="O259" s="3" cm="1">
        <f t="array" ref="O259">_xlfn.IFS(AND(K259="Broker",J259="Resale"),F259*0.5,AND(K259="Owner",J259="Resale"),F259*0,AND(K259="Builder",J259="Resale"),F259*0.3,AND(J259="New",K259="Broker"),F259*0.1,AND(J259="New",K259="Owner"),F259*0,AND(J259="New",K259="Builder"),F259*0.5)</f>
        <v>0</v>
      </c>
    </row>
    <row r="260" spans="1:15" x14ac:dyDescent="0.3">
      <c r="A260" s="8" t="s">
        <v>295</v>
      </c>
      <c r="B260" s="4" t="s">
        <v>180</v>
      </c>
      <c r="C260" s="4" t="s">
        <v>197</v>
      </c>
      <c r="D260" s="4">
        <v>3</v>
      </c>
      <c r="E260" s="4">
        <v>1871</v>
      </c>
      <c r="F260" s="4">
        <v>20342538</v>
      </c>
      <c r="G260" s="4">
        <v>3</v>
      </c>
      <c r="H260" s="4">
        <v>2</v>
      </c>
      <c r="I260" s="4" t="s">
        <v>18</v>
      </c>
      <c r="J260" s="4" t="s">
        <v>19</v>
      </c>
      <c r="K260" s="4" t="s">
        <v>20</v>
      </c>
      <c r="L260" s="9">
        <v>45192</v>
      </c>
      <c r="M260" s="9" t="str">
        <f>TEXT(Source_data[[#This Row],[Listing_Date]],"mmm-yy")</f>
        <v>Sep-23</v>
      </c>
      <c r="N260" s="4">
        <f t="shared" si="4"/>
        <v>10872.548369855693</v>
      </c>
      <c r="O260" s="3" cm="1">
        <f t="array" ref="O260">_xlfn.IFS(AND(K260="Broker",J260="Resale"),F260*0.5,AND(K260="Owner",J260="Resale"),F260*0,AND(K260="Builder",J260="Resale"),F260*0.3,AND(J260="New",K260="Broker"),F260*0.1,AND(J260="New",K260="Owner"),F260*0,AND(J260="New",K260="Builder"),F260*0.5)</f>
        <v>2034253.8</v>
      </c>
    </row>
    <row r="261" spans="1:15" x14ac:dyDescent="0.3">
      <c r="A261" s="8" t="s">
        <v>296</v>
      </c>
      <c r="B261" s="4" t="s">
        <v>180</v>
      </c>
      <c r="C261" s="4" t="s">
        <v>197</v>
      </c>
      <c r="D261" s="4">
        <v>4</v>
      </c>
      <c r="E261" s="4">
        <v>1204</v>
      </c>
      <c r="F261" s="4">
        <v>12066956</v>
      </c>
      <c r="G261" s="4">
        <v>2</v>
      </c>
      <c r="H261" s="4">
        <v>2</v>
      </c>
      <c r="I261" s="4" t="s">
        <v>8</v>
      </c>
      <c r="J261" s="4" t="s">
        <v>19</v>
      </c>
      <c r="K261" s="4" t="s">
        <v>24</v>
      </c>
      <c r="L261" s="9">
        <v>45106</v>
      </c>
      <c r="M261" s="9" t="str">
        <f>TEXT(Source_data[[#This Row],[Listing_Date]],"mmm-yy")</f>
        <v>Jun-23</v>
      </c>
      <c r="N261" s="4">
        <f t="shared" si="4"/>
        <v>10022.388704318937</v>
      </c>
      <c r="O261" s="3" cm="1">
        <f t="array" ref="O261">_xlfn.IFS(AND(K261="Broker",J261="Resale"),F261*0.5,AND(K261="Owner",J261="Resale"),F261*0,AND(K261="Builder",J261="Resale"),F261*0.3,AND(J261="New",K261="Broker"),F261*0.1,AND(J261="New",K261="Owner"),F261*0,AND(J261="New",K261="Builder"),F261*0.5)</f>
        <v>6033478</v>
      </c>
    </row>
    <row r="262" spans="1:15" x14ac:dyDescent="0.3">
      <c r="A262" s="8" t="s">
        <v>297</v>
      </c>
      <c r="B262" s="4" t="s">
        <v>180</v>
      </c>
      <c r="C262" s="4" t="s">
        <v>192</v>
      </c>
      <c r="D262" s="4">
        <v>2</v>
      </c>
      <c r="E262" s="4">
        <v>1113</v>
      </c>
      <c r="F262" s="4">
        <v>12900078</v>
      </c>
      <c r="G262" s="4">
        <v>1</v>
      </c>
      <c r="H262" s="4">
        <v>1</v>
      </c>
      <c r="I262" s="4" t="s">
        <v>27</v>
      </c>
      <c r="J262" s="4" t="s">
        <v>23</v>
      </c>
      <c r="K262" s="4" t="s">
        <v>36</v>
      </c>
      <c r="L262" s="9">
        <v>45137</v>
      </c>
      <c r="M262" s="9" t="str">
        <f>TEXT(Source_data[[#This Row],[Listing_Date]],"mmm-yy")</f>
        <v>Jul-23</v>
      </c>
      <c r="N262" s="4">
        <f t="shared" si="4"/>
        <v>11590.366576819408</v>
      </c>
      <c r="O262" s="3" cm="1">
        <f t="array" ref="O262">_xlfn.IFS(AND(K262="Broker",J262="Resale"),F262*0.5,AND(K262="Owner",J262="Resale"),F262*0,AND(K262="Builder",J262="Resale"),F262*0.3,AND(J262="New",K262="Broker"),F262*0.1,AND(J262="New",K262="Owner"),F262*0,AND(J262="New",K262="Builder"),F262*0.5)</f>
        <v>0</v>
      </c>
    </row>
    <row r="263" spans="1:15" x14ac:dyDescent="0.3">
      <c r="A263" s="8" t="s">
        <v>298</v>
      </c>
      <c r="B263" s="4" t="s">
        <v>180</v>
      </c>
      <c r="C263" s="4" t="s">
        <v>185</v>
      </c>
      <c r="D263" s="4">
        <v>3</v>
      </c>
      <c r="E263" s="4">
        <v>1204</v>
      </c>
      <c r="F263" s="4">
        <v>12066956</v>
      </c>
      <c r="G263" s="4">
        <v>2</v>
      </c>
      <c r="H263" s="4">
        <v>2</v>
      </c>
      <c r="I263" s="4" t="s">
        <v>8</v>
      </c>
      <c r="J263" s="4" t="s">
        <v>19</v>
      </c>
      <c r="K263" s="4" t="s">
        <v>24</v>
      </c>
      <c r="L263" s="9">
        <v>45811</v>
      </c>
      <c r="M263" s="9" t="str">
        <f>TEXT(Source_data[[#This Row],[Listing_Date]],"mmm-yy")</f>
        <v>Jun-25</v>
      </c>
      <c r="N263" s="4">
        <f t="shared" si="4"/>
        <v>10022.388704318937</v>
      </c>
      <c r="O263" s="3" cm="1">
        <f t="array" ref="O263">_xlfn.IFS(AND(K263="Broker",J263="Resale"),F263*0.5,AND(K263="Owner",J263="Resale"),F263*0,AND(K263="Builder",J263="Resale"),F263*0.3,AND(J263="New",K263="Broker"),F263*0.1,AND(J263="New",K263="Owner"),F263*0,AND(J263="New",K263="Builder"),F263*0.5)</f>
        <v>6033478</v>
      </c>
    </row>
    <row r="264" spans="1:15" x14ac:dyDescent="0.3">
      <c r="A264" s="8" t="s">
        <v>299</v>
      </c>
      <c r="B264" s="4" t="s">
        <v>180</v>
      </c>
      <c r="C264" s="4" t="s">
        <v>187</v>
      </c>
      <c r="D264" s="4">
        <v>3</v>
      </c>
      <c r="E264" s="4">
        <v>1514</v>
      </c>
      <c r="F264" s="4">
        <v>14460560</v>
      </c>
      <c r="G264" s="4">
        <v>3</v>
      </c>
      <c r="H264" s="4">
        <v>1</v>
      </c>
      <c r="I264" s="4" t="s">
        <v>8</v>
      </c>
      <c r="J264" s="4" t="s">
        <v>19</v>
      </c>
      <c r="K264" s="4" t="s">
        <v>24</v>
      </c>
      <c r="L264" s="9">
        <v>45224</v>
      </c>
      <c r="M264" s="9" t="str">
        <f>TEXT(Source_data[[#This Row],[Listing_Date]],"mmm-yy")</f>
        <v>Oct-23</v>
      </c>
      <c r="N264" s="4">
        <f t="shared" si="4"/>
        <v>9551.2285336856003</v>
      </c>
      <c r="O264" s="3" cm="1">
        <f t="array" ref="O264">_xlfn.IFS(AND(K264="Broker",J264="Resale"),F264*0.5,AND(K264="Owner",J264="Resale"),F264*0,AND(K264="Builder",J264="Resale"),F264*0.3,AND(J264="New",K264="Broker"),F264*0.1,AND(J264="New",K264="Owner"),F264*0,AND(J264="New",K264="Builder"),F264*0.5)</f>
        <v>7230280</v>
      </c>
    </row>
    <row r="265" spans="1:15" x14ac:dyDescent="0.3">
      <c r="A265" s="8" t="s">
        <v>300</v>
      </c>
      <c r="B265" s="4" t="s">
        <v>180</v>
      </c>
      <c r="C265" s="4" t="s">
        <v>192</v>
      </c>
      <c r="D265" s="4">
        <v>2</v>
      </c>
      <c r="E265" s="4">
        <v>1170</v>
      </c>
      <c r="F265" s="4">
        <v>15771671</v>
      </c>
      <c r="G265" s="4">
        <v>2</v>
      </c>
      <c r="H265" s="4">
        <v>2</v>
      </c>
      <c r="I265" s="4" t="s">
        <v>8</v>
      </c>
      <c r="J265" s="4" t="s">
        <v>19</v>
      </c>
      <c r="K265" s="4" t="s">
        <v>36</v>
      </c>
      <c r="L265" s="9">
        <v>45528</v>
      </c>
      <c r="M265" s="9" t="str">
        <f>TEXT(Source_data[[#This Row],[Listing_Date]],"mmm-yy")</f>
        <v>Aug-24</v>
      </c>
      <c r="N265" s="4">
        <f t="shared" si="4"/>
        <v>13480.060683760683</v>
      </c>
      <c r="O265" s="3" cm="1">
        <f t="array" ref="O265">_xlfn.IFS(AND(K265="Broker",J265="Resale"),F265*0.5,AND(K265="Owner",J265="Resale"),F265*0,AND(K265="Builder",J265="Resale"),F265*0.3,AND(J265="New",K265="Broker"),F265*0.1,AND(J265="New",K265="Owner"),F265*0,AND(J265="New",K265="Builder"),F265*0.5)</f>
        <v>0</v>
      </c>
    </row>
    <row r="266" spans="1:15" x14ac:dyDescent="0.3">
      <c r="A266" s="8" t="s">
        <v>301</v>
      </c>
      <c r="B266" s="4" t="s">
        <v>180</v>
      </c>
      <c r="C266" s="4" t="s">
        <v>187</v>
      </c>
      <c r="D266" s="4">
        <v>2</v>
      </c>
      <c r="E266" s="4">
        <v>1299</v>
      </c>
      <c r="F266" s="4">
        <v>16224412</v>
      </c>
      <c r="G266" s="4">
        <v>1</v>
      </c>
      <c r="H266" s="4">
        <v>2</v>
      </c>
      <c r="I266" s="4" t="s">
        <v>8</v>
      </c>
      <c r="J266" s="4" t="s">
        <v>19</v>
      </c>
      <c r="K266" s="4" t="s">
        <v>24</v>
      </c>
      <c r="L266" s="9">
        <v>45075</v>
      </c>
      <c r="M266" s="9" t="str">
        <f>TEXT(Source_data[[#This Row],[Listing_Date]],"mmm-yy")</f>
        <v>May-23</v>
      </c>
      <c r="N266" s="4">
        <f t="shared" si="4"/>
        <v>12489.924557351809</v>
      </c>
      <c r="O266" s="3" cm="1">
        <f t="array" ref="O266">_xlfn.IFS(AND(K266="Broker",J266="Resale"),F266*0.5,AND(K266="Owner",J266="Resale"),F266*0,AND(K266="Builder",J266="Resale"),F266*0.3,AND(J266="New",K266="Broker"),F266*0.1,AND(J266="New",K266="Owner"),F266*0,AND(J266="New",K266="Builder"),F266*0.5)</f>
        <v>8112206</v>
      </c>
    </row>
    <row r="267" spans="1:15" x14ac:dyDescent="0.3">
      <c r="A267" s="8" t="s">
        <v>302</v>
      </c>
      <c r="B267" s="4" t="s">
        <v>180</v>
      </c>
      <c r="C267" s="4" t="s">
        <v>197</v>
      </c>
      <c r="D267" s="4">
        <v>3</v>
      </c>
      <c r="E267" s="4">
        <v>1318</v>
      </c>
      <c r="F267" s="4">
        <v>14690494</v>
      </c>
      <c r="G267" s="4">
        <v>3</v>
      </c>
      <c r="H267" s="4">
        <v>3</v>
      </c>
      <c r="I267" s="4" t="s">
        <v>8</v>
      </c>
      <c r="J267" s="4" t="s">
        <v>19</v>
      </c>
      <c r="K267" s="4" t="s">
        <v>20</v>
      </c>
      <c r="L267" s="9">
        <v>45568</v>
      </c>
      <c r="M267" s="9" t="str">
        <f>TEXT(Source_data[[#This Row],[Listing_Date]],"mmm-yy")</f>
        <v>Oct-24</v>
      </c>
      <c r="N267" s="4">
        <f t="shared" si="4"/>
        <v>11146.050075872534</v>
      </c>
      <c r="O267" s="3" cm="1">
        <f t="array" ref="O267">_xlfn.IFS(AND(K267="Broker",J267="Resale"),F267*0.5,AND(K267="Owner",J267="Resale"),F267*0,AND(K267="Builder",J267="Resale"),F267*0.3,AND(J267="New",K267="Broker"),F267*0.1,AND(J267="New",K267="Owner"),F267*0,AND(J267="New",K267="Builder"),F267*0.5)</f>
        <v>1469049.4000000001</v>
      </c>
    </row>
    <row r="268" spans="1:15" x14ac:dyDescent="0.3">
      <c r="A268" s="8" t="s">
        <v>303</v>
      </c>
      <c r="B268" s="4" t="s">
        <v>180</v>
      </c>
      <c r="C268" s="4" t="s">
        <v>183</v>
      </c>
      <c r="D268" s="4">
        <v>1</v>
      </c>
      <c r="E268" s="4">
        <v>593</v>
      </c>
      <c r="F268" s="4">
        <v>7049320</v>
      </c>
      <c r="G268" s="4">
        <v>1</v>
      </c>
      <c r="H268" s="4">
        <v>4</v>
      </c>
      <c r="I268" s="4" t="s">
        <v>8</v>
      </c>
      <c r="J268" s="4" t="s">
        <v>23</v>
      </c>
      <c r="K268" s="4" t="s">
        <v>36</v>
      </c>
      <c r="L268" s="9">
        <v>45844</v>
      </c>
      <c r="M268" s="9" t="str">
        <f>TEXT(Source_data[[#This Row],[Listing_Date]],"mmm-yy")</f>
        <v>Jul-25</v>
      </c>
      <c r="N268" s="4">
        <f t="shared" si="4"/>
        <v>11887.554806070826</v>
      </c>
      <c r="O268" s="3" cm="1">
        <f t="array" ref="O268">_xlfn.IFS(AND(K268="Broker",J268="Resale"),F268*0.5,AND(K268="Owner",J268="Resale"),F268*0,AND(K268="Builder",J268="Resale"),F268*0.3,AND(J268="New",K268="Broker"),F268*0.1,AND(J268="New",K268="Owner"),F268*0,AND(J268="New",K268="Builder"),F268*0.5)</f>
        <v>0</v>
      </c>
    </row>
    <row r="269" spans="1:15" x14ac:dyDescent="0.3">
      <c r="A269" s="8" t="s">
        <v>304</v>
      </c>
      <c r="B269" s="4" t="s">
        <v>180</v>
      </c>
      <c r="C269" s="4" t="s">
        <v>185</v>
      </c>
      <c r="D269" s="4">
        <v>1</v>
      </c>
      <c r="E269" s="4">
        <v>671</v>
      </c>
      <c r="F269" s="4">
        <v>6986624</v>
      </c>
      <c r="G269" s="4">
        <v>2</v>
      </c>
      <c r="H269" s="4">
        <v>2</v>
      </c>
      <c r="I269" s="4" t="s">
        <v>8</v>
      </c>
      <c r="J269" s="4" t="s">
        <v>19</v>
      </c>
      <c r="K269" s="4" t="s">
        <v>20</v>
      </c>
      <c r="L269" s="9">
        <v>45516</v>
      </c>
      <c r="M269" s="9" t="str">
        <f>TEXT(Source_data[[#This Row],[Listing_Date]],"mmm-yy")</f>
        <v>Aug-24</v>
      </c>
      <c r="N269" s="4">
        <f t="shared" si="4"/>
        <v>10412.256333830104</v>
      </c>
      <c r="O269" s="3" cm="1">
        <f t="array" ref="O269">_xlfn.IFS(AND(K269="Broker",J269="Resale"),F269*0.5,AND(K269="Owner",J269="Resale"),F269*0,AND(K269="Builder",J269="Resale"),F269*0.3,AND(J269="New",K269="Broker"),F269*0.1,AND(J269="New",K269="Owner"),F269*0,AND(J269="New",K269="Builder"),F269*0.5)</f>
        <v>698662.40000000002</v>
      </c>
    </row>
    <row r="270" spans="1:15" x14ac:dyDescent="0.3">
      <c r="A270" s="8" t="s">
        <v>305</v>
      </c>
      <c r="B270" s="4" t="s">
        <v>180</v>
      </c>
      <c r="C270" s="4" t="s">
        <v>187</v>
      </c>
      <c r="D270" s="4">
        <v>2</v>
      </c>
      <c r="E270" s="4">
        <v>824</v>
      </c>
      <c r="F270" s="4">
        <v>8827742</v>
      </c>
      <c r="G270" s="4">
        <v>1</v>
      </c>
      <c r="H270" s="4">
        <v>3</v>
      </c>
      <c r="I270" s="4" t="s">
        <v>8</v>
      </c>
      <c r="J270" s="4" t="s">
        <v>19</v>
      </c>
      <c r="K270" s="4" t="s">
        <v>36</v>
      </c>
      <c r="L270" s="9">
        <v>44962</v>
      </c>
      <c r="M270" s="9" t="str">
        <f>TEXT(Source_data[[#This Row],[Listing_Date]],"mmm-yy")</f>
        <v>Feb-23</v>
      </c>
      <c r="N270" s="4">
        <f t="shared" si="4"/>
        <v>10713.279126213592</v>
      </c>
      <c r="O270" s="3" cm="1">
        <f t="array" ref="O270">_xlfn.IFS(AND(K270="Broker",J270="Resale"),F270*0.5,AND(K270="Owner",J270="Resale"),F270*0,AND(K270="Builder",J270="Resale"),F270*0.3,AND(J270="New",K270="Broker"),F270*0.1,AND(J270="New",K270="Owner"),F270*0,AND(J270="New",K270="Builder"),F270*0.5)</f>
        <v>0</v>
      </c>
    </row>
    <row r="271" spans="1:15" x14ac:dyDescent="0.3">
      <c r="A271" s="8" t="s">
        <v>306</v>
      </c>
      <c r="B271" s="4" t="s">
        <v>180</v>
      </c>
      <c r="C271" s="4" t="s">
        <v>181</v>
      </c>
      <c r="D271" s="4">
        <v>2</v>
      </c>
      <c r="E271" s="4">
        <v>832</v>
      </c>
      <c r="F271" s="4">
        <v>6902197</v>
      </c>
      <c r="G271" s="4">
        <v>3</v>
      </c>
      <c r="H271" s="4">
        <v>3</v>
      </c>
      <c r="I271" s="4" t="s">
        <v>8</v>
      </c>
      <c r="J271" s="4" t="s">
        <v>23</v>
      </c>
      <c r="K271" s="4" t="s">
        <v>36</v>
      </c>
      <c r="L271" s="9">
        <v>45690</v>
      </c>
      <c r="M271" s="9" t="str">
        <f>TEXT(Source_data[[#This Row],[Listing_Date]],"mmm-yy")</f>
        <v>Feb-25</v>
      </c>
      <c r="N271" s="4">
        <f t="shared" si="4"/>
        <v>8295.9098557692305</v>
      </c>
      <c r="O271" s="3" cm="1">
        <f t="array" ref="O271">_xlfn.IFS(AND(K271="Broker",J271="Resale"),F271*0.5,AND(K271="Owner",J271="Resale"),F271*0,AND(K271="Builder",J271="Resale"),F271*0.3,AND(J271="New",K271="Broker"),F271*0.1,AND(J271="New",K271="Owner"),F271*0,AND(J271="New",K271="Builder"),F271*0.5)</f>
        <v>0</v>
      </c>
    </row>
    <row r="272" spans="1:15" x14ac:dyDescent="0.3">
      <c r="A272" s="8" t="s">
        <v>307</v>
      </c>
      <c r="B272" s="4" t="s">
        <v>180</v>
      </c>
      <c r="C272" s="4" t="s">
        <v>187</v>
      </c>
      <c r="D272" s="4">
        <v>2</v>
      </c>
      <c r="E272" s="4">
        <v>1207</v>
      </c>
      <c r="F272" s="4">
        <v>13364637</v>
      </c>
      <c r="G272" s="4">
        <v>1</v>
      </c>
      <c r="H272" s="4">
        <v>2</v>
      </c>
      <c r="I272" s="4" t="s">
        <v>27</v>
      </c>
      <c r="J272" s="4" t="s">
        <v>19</v>
      </c>
      <c r="K272" s="4" t="s">
        <v>20</v>
      </c>
      <c r="L272" s="9">
        <v>45531</v>
      </c>
      <c r="M272" s="9" t="str">
        <f>TEXT(Source_data[[#This Row],[Listing_Date]],"mmm-yy")</f>
        <v>Aug-24</v>
      </c>
      <c r="N272" s="4">
        <f t="shared" si="4"/>
        <v>11072.607290803646</v>
      </c>
      <c r="O272" s="3" cm="1">
        <f t="array" ref="O272">_xlfn.IFS(AND(K272="Broker",J272="Resale"),F272*0.5,AND(K272="Owner",J272="Resale"),F272*0,AND(K272="Builder",J272="Resale"),F272*0.3,AND(J272="New",K272="Broker"),F272*0.1,AND(J272="New",K272="Owner"),F272*0,AND(J272="New",K272="Builder"),F272*0.5)</f>
        <v>1336463.7000000002</v>
      </c>
    </row>
    <row r="273" spans="1:15" x14ac:dyDescent="0.3">
      <c r="A273" s="8" t="s">
        <v>308</v>
      </c>
      <c r="B273" s="4" t="s">
        <v>180</v>
      </c>
      <c r="C273" s="4" t="s">
        <v>181</v>
      </c>
      <c r="D273" s="4">
        <v>4</v>
      </c>
      <c r="E273" s="4">
        <v>2451</v>
      </c>
      <c r="F273" s="4">
        <v>30110983</v>
      </c>
      <c r="G273" s="4">
        <v>2</v>
      </c>
      <c r="H273" s="4">
        <v>2</v>
      </c>
      <c r="I273" s="4" t="s">
        <v>8</v>
      </c>
      <c r="J273" s="4" t="s">
        <v>23</v>
      </c>
      <c r="K273" s="4" t="s">
        <v>36</v>
      </c>
      <c r="L273" s="9">
        <v>45133</v>
      </c>
      <c r="M273" s="9" t="str">
        <f>TEXT(Source_data[[#This Row],[Listing_Date]],"mmm-yy")</f>
        <v>Jul-23</v>
      </c>
      <c r="N273" s="4">
        <f t="shared" si="4"/>
        <v>12285.18278253774</v>
      </c>
      <c r="O273" s="3" cm="1">
        <f t="array" ref="O273">_xlfn.IFS(AND(K273="Broker",J273="Resale"),F273*0.5,AND(K273="Owner",J273="Resale"),F273*0,AND(K273="Builder",J273="Resale"),F273*0.3,AND(J273="New",K273="Broker"),F273*0.1,AND(J273="New",K273="Owner"),F273*0,AND(J273="New",K273="Builder"),F273*0.5)</f>
        <v>0</v>
      </c>
    </row>
    <row r="274" spans="1:15" x14ac:dyDescent="0.3">
      <c r="A274" s="8" t="s">
        <v>309</v>
      </c>
      <c r="B274" s="4" t="s">
        <v>180</v>
      </c>
      <c r="C274" s="4" t="s">
        <v>197</v>
      </c>
      <c r="D274" s="4">
        <v>2</v>
      </c>
      <c r="E274" s="4">
        <v>1165</v>
      </c>
      <c r="F274" s="4">
        <v>10251111</v>
      </c>
      <c r="G274" s="4">
        <v>1</v>
      </c>
      <c r="H274" s="4">
        <v>2</v>
      </c>
      <c r="I274" s="4" t="s">
        <v>27</v>
      </c>
      <c r="J274" s="4" t="s">
        <v>19</v>
      </c>
      <c r="K274" s="4" t="s">
        <v>24</v>
      </c>
      <c r="L274" s="9">
        <v>45312</v>
      </c>
      <c r="M274" s="9" t="str">
        <f>TEXT(Source_data[[#This Row],[Listing_Date]],"mmm-yy")</f>
        <v>Jan-24</v>
      </c>
      <c r="N274" s="4">
        <f t="shared" si="4"/>
        <v>8799.2369098712443</v>
      </c>
      <c r="O274" s="3" cm="1">
        <f t="array" ref="O274">_xlfn.IFS(AND(K274="Broker",J274="Resale"),F274*0.5,AND(K274="Owner",J274="Resale"),F274*0,AND(K274="Builder",J274="Resale"),F274*0.3,AND(J274="New",K274="Broker"),F274*0.1,AND(J274="New",K274="Owner"),F274*0,AND(J274="New",K274="Builder"),F274*0.5)</f>
        <v>5125555.5</v>
      </c>
    </row>
    <row r="275" spans="1:15" x14ac:dyDescent="0.3">
      <c r="A275" s="8" t="s">
        <v>310</v>
      </c>
      <c r="B275" s="4" t="s">
        <v>180</v>
      </c>
      <c r="C275" s="4" t="s">
        <v>187</v>
      </c>
      <c r="D275" s="4">
        <v>4</v>
      </c>
      <c r="E275" s="4">
        <v>1186</v>
      </c>
      <c r="F275" s="4">
        <v>12469746</v>
      </c>
      <c r="G275" s="4">
        <v>3</v>
      </c>
      <c r="H275" s="4">
        <v>2</v>
      </c>
      <c r="I275" s="4" t="s">
        <v>8</v>
      </c>
      <c r="J275" s="4" t="s">
        <v>19</v>
      </c>
      <c r="K275" s="4" t="s">
        <v>24</v>
      </c>
      <c r="L275" s="9">
        <v>45892</v>
      </c>
      <c r="M275" s="9" t="str">
        <f>TEXT(Source_data[[#This Row],[Listing_Date]],"mmm-yy")</f>
        <v>Aug-25</v>
      </c>
      <c r="N275" s="4">
        <f t="shared" si="4"/>
        <v>10514.119730185497</v>
      </c>
      <c r="O275" s="3" cm="1">
        <f t="array" ref="O275">_xlfn.IFS(AND(K275="Broker",J275="Resale"),F275*0.5,AND(K275="Owner",J275="Resale"),F275*0,AND(K275="Builder",J275="Resale"),F275*0.3,AND(J275="New",K275="Broker"),F275*0.1,AND(J275="New",K275="Owner"),F275*0,AND(J275="New",K275="Builder"),F275*0.5)</f>
        <v>6234873</v>
      </c>
    </row>
    <row r="276" spans="1:15" x14ac:dyDescent="0.3">
      <c r="A276" s="8" t="s">
        <v>311</v>
      </c>
      <c r="B276" s="4" t="s">
        <v>180</v>
      </c>
      <c r="C276" s="4" t="s">
        <v>197</v>
      </c>
      <c r="D276" s="4">
        <v>3</v>
      </c>
      <c r="E276" s="4">
        <v>1268</v>
      </c>
      <c r="F276" s="4">
        <v>16299029</v>
      </c>
      <c r="G276" s="4">
        <v>4</v>
      </c>
      <c r="H276" s="4">
        <v>1</v>
      </c>
      <c r="I276" s="4" t="s">
        <v>27</v>
      </c>
      <c r="J276" s="4" t="s">
        <v>23</v>
      </c>
      <c r="K276" s="4" t="s">
        <v>36</v>
      </c>
      <c r="L276" s="9">
        <v>44962</v>
      </c>
      <c r="M276" s="9" t="str">
        <f>TEXT(Source_data[[#This Row],[Listing_Date]],"mmm-yy")</f>
        <v>Feb-23</v>
      </c>
      <c r="N276" s="4">
        <f t="shared" si="4"/>
        <v>12854.123817034701</v>
      </c>
      <c r="O276" s="3" cm="1">
        <f t="array" ref="O276">_xlfn.IFS(AND(K276="Broker",J276="Resale"),F276*0.5,AND(K276="Owner",J276="Resale"),F276*0,AND(K276="Builder",J276="Resale"),F276*0.3,AND(J276="New",K276="Broker"),F276*0.1,AND(J276="New",K276="Owner"),F276*0,AND(J276="New",K276="Builder"),F276*0.5)</f>
        <v>0</v>
      </c>
    </row>
    <row r="277" spans="1:15" x14ac:dyDescent="0.3">
      <c r="A277" s="8" t="s">
        <v>312</v>
      </c>
      <c r="B277" s="4" t="s">
        <v>180</v>
      </c>
      <c r="C277" s="4" t="s">
        <v>192</v>
      </c>
      <c r="D277" s="4">
        <v>2</v>
      </c>
      <c r="E277" s="4">
        <v>1211</v>
      </c>
      <c r="F277" s="4">
        <v>15494873</v>
      </c>
      <c r="G277" s="4">
        <v>2</v>
      </c>
      <c r="H277" s="4">
        <v>2</v>
      </c>
      <c r="I277" s="4" t="s">
        <v>8</v>
      </c>
      <c r="J277" s="4" t="s">
        <v>19</v>
      </c>
      <c r="K277" s="4" t="s">
        <v>24</v>
      </c>
      <c r="L277" s="9">
        <v>45670</v>
      </c>
      <c r="M277" s="9" t="str">
        <f>TEXT(Source_data[[#This Row],[Listing_Date]],"mmm-yy")</f>
        <v>Jan-25</v>
      </c>
      <c r="N277" s="4">
        <f t="shared" si="4"/>
        <v>12795.105697770437</v>
      </c>
      <c r="O277" s="3" cm="1">
        <f t="array" ref="O277">_xlfn.IFS(AND(K277="Broker",J277="Resale"),F277*0.5,AND(K277="Owner",J277="Resale"),F277*0,AND(K277="Builder",J277="Resale"),F277*0.3,AND(J277="New",K277="Broker"),F277*0.1,AND(J277="New",K277="Owner"),F277*0,AND(J277="New",K277="Builder"),F277*0.5)</f>
        <v>7747436.5</v>
      </c>
    </row>
    <row r="278" spans="1:15" x14ac:dyDescent="0.3">
      <c r="A278" s="8" t="s">
        <v>313</v>
      </c>
      <c r="B278" s="4" t="s">
        <v>180</v>
      </c>
      <c r="C278" s="4" t="s">
        <v>181</v>
      </c>
      <c r="D278" s="4">
        <v>3</v>
      </c>
      <c r="E278" s="4">
        <v>1204</v>
      </c>
      <c r="F278" s="4">
        <v>12066956</v>
      </c>
      <c r="G278" s="4">
        <v>2</v>
      </c>
      <c r="H278" s="4">
        <v>2</v>
      </c>
      <c r="I278" s="4" t="s">
        <v>8</v>
      </c>
      <c r="J278" s="4" t="s">
        <v>19</v>
      </c>
      <c r="K278" s="4" t="s">
        <v>24</v>
      </c>
      <c r="L278" s="9">
        <v>45079</v>
      </c>
      <c r="M278" s="9" t="str">
        <f>TEXT(Source_data[[#This Row],[Listing_Date]],"mmm-yy")</f>
        <v>Jun-23</v>
      </c>
      <c r="N278" s="4">
        <f t="shared" si="4"/>
        <v>10022.388704318937</v>
      </c>
      <c r="O278" s="3" cm="1">
        <f t="array" ref="O278">_xlfn.IFS(AND(K278="Broker",J278="Resale"),F278*0.5,AND(K278="Owner",J278="Resale"),F278*0,AND(K278="Builder",J278="Resale"),F278*0.3,AND(J278="New",K278="Broker"),F278*0.1,AND(J278="New",K278="Owner"),F278*0,AND(J278="New",K278="Builder"),F278*0.5)</f>
        <v>6033478</v>
      </c>
    </row>
    <row r="279" spans="1:15" x14ac:dyDescent="0.3">
      <c r="A279" s="8" t="s">
        <v>314</v>
      </c>
      <c r="B279" s="4" t="s">
        <v>180</v>
      </c>
      <c r="C279" s="4" t="s">
        <v>197</v>
      </c>
      <c r="D279" s="4">
        <v>3</v>
      </c>
      <c r="E279" s="4">
        <v>1265</v>
      </c>
      <c r="F279" s="4">
        <v>34757573</v>
      </c>
      <c r="G279" s="4">
        <v>4</v>
      </c>
      <c r="H279" s="4">
        <v>3</v>
      </c>
      <c r="I279" s="4" t="s">
        <v>27</v>
      </c>
      <c r="J279" s="4" t="s">
        <v>23</v>
      </c>
      <c r="K279" s="4" t="s">
        <v>24</v>
      </c>
      <c r="L279" s="9">
        <v>45131</v>
      </c>
      <c r="M279" s="9" t="str">
        <f>TEXT(Source_data[[#This Row],[Listing_Date]],"mmm-yy")</f>
        <v>Jul-23</v>
      </c>
      <c r="N279" s="4">
        <f t="shared" si="4"/>
        <v>27476.342292490117</v>
      </c>
      <c r="O279" s="3" cm="1">
        <f t="array" ref="O279">_xlfn.IFS(AND(K279="Broker",J279="Resale"),F279*0.5,AND(K279="Owner",J279="Resale"),F279*0,AND(K279="Builder",J279="Resale"),F279*0.3,AND(J279="New",K279="Broker"),F279*0.1,AND(J279="New",K279="Owner"),F279*0,AND(J279="New",K279="Builder"),F279*0.5)</f>
        <v>10427271.9</v>
      </c>
    </row>
    <row r="280" spans="1:15" x14ac:dyDescent="0.3">
      <c r="A280" s="8" t="s">
        <v>315</v>
      </c>
      <c r="B280" s="4" t="s">
        <v>180</v>
      </c>
      <c r="C280" s="4" t="s">
        <v>187</v>
      </c>
      <c r="D280" s="4">
        <v>1</v>
      </c>
      <c r="E280" s="4">
        <v>393</v>
      </c>
      <c r="F280" s="4">
        <v>5854676</v>
      </c>
      <c r="G280" s="4">
        <v>1</v>
      </c>
      <c r="H280" s="4">
        <v>1</v>
      </c>
      <c r="I280" s="4" t="s">
        <v>8</v>
      </c>
      <c r="J280" s="4" t="s">
        <v>23</v>
      </c>
      <c r="K280" s="4" t="s">
        <v>24</v>
      </c>
      <c r="L280" s="9">
        <v>45813</v>
      </c>
      <c r="M280" s="9" t="str">
        <f>TEXT(Source_data[[#This Row],[Listing_Date]],"mmm-yy")</f>
        <v>Jun-25</v>
      </c>
      <c r="N280" s="4">
        <f t="shared" si="4"/>
        <v>14897.394402035623</v>
      </c>
      <c r="O280" s="3" cm="1">
        <f t="array" ref="O280">_xlfn.IFS(AND(K280="Broker",J280="Resale"),F280*0.5,AND(K280="Owner",J280="Resale"),F280*0,AND(K280="Builder",J280="Resale"),F280*0.3,AND(J280="New",K280="Broker"),F280*0.1,AND(J280="New",K280="Owner"),F280*0,AND(J280="New",K280="Builder"),F280*0.5)</f>
        <v>1756402.8</v>
      </c>
    </row>
    <row r="281" spans="1:15" x14ac:dyDescent="0.3">
      <c r="A281" s="8" t="s">
        <v>316</v>
      </c>
      <c r="B281" s="4" t="s">
        <v>180</v>
      </c>
      <c r="C281" s="4" t="s">
        <v>185</v>
      </c>
      <c r="D281" s="4">
        <v>3</v>
      </c>
      <c r="E281" s="4">
        <v>999</v>
      </c>
      <c r="F281" s="4">
        <v>12153942</v>
      </c>
      <c r="G281" s="4">
        <v>3</v>
      </c>
      <c r="H281" s="4">
        <v>1</v>
      </c>
      <c r="I281" s="4" t="s">
        <v>8</v>
      </c>
      <c r="J281" s="4" t="s">
        <v>23</v>
      </c>
      <c r="K281" s="4" t="s">
        <v>36</v>
      </c>
      <c r="L281" s="9">
        <v>45013</v>
      </c>
      <c r="M281" s="9" t="str">
        <f>TEXT(Source_data[[#This Row],[Listing_Date]],"mmm-yy")</f>
        <v>Mar-23</v>
      </c>
      <c r="N281" s="4">
        <f t="shared" si="4"/>
        <v>12166.108108108108</v>
      </c>
      <c r="O281" s="3" cm="1">
        <f t="array" ref="O281">_xlfn.IFS(AND(K281="Broker",J281="Resale"),F281*0.5,AND(K281="Owner",J281="Resale"),F281*0,AND(K281="Builder",J281="Resale"),F281*0.3,AND(J281="New",K281="Broker"),F281*0.1,AND(J281="New",K281="Owner"),F281*0,AND(J281="New",K281="Builder"),F281*0.5)</f>
        <v>0</v>
      </c>
    </row>
    <row r="282" spans="1:15" x14ac:dyDescent="0.3">
      <c r="A282" s="8" t="s">
        <v>317</v>
      </c>
      <c r="B282" s="4" t="s">
        <v>180</v>
      </c>
      <c r="C282" s="4" t="s">
        <v>187</v>
      </c>
      <c r="D282" s="4">
        <v>3</v>
      </c>
      <c r="E282" s="4">
        <v>985</v>
      </c>
      <c r="F282" s="4">
        <v>10105491</v>
      </c>
      <c r="G282" s="4">
        <v>3</v>
      </c>
      <c r="H282" s="4">
        <v>0</v>
      </c>
      <c r="I282" s="4" t="s">
        <v>18</v>
      </c>
      <c r="J282" s="4" t="s">
        <v>19</v>
      </c>
      <c r="K282" s="4" t="s">
        <v>36</v>
      </c>
      <c r="L282" s="9">
        <v>45596</v>
      </c>
      <c r="M282" s="9" t="str">
        <f>TEXT(Source_data[[#This Row],[Listing_Date]],"mmm-yy")</f>
        <v>Oct-24</v>
      </c>
      <c r="N282" s="4">
        <f t="shared" si="4"/>
        <v>10259.381725888325</v>
      </c>
      <c r="O282" s="3" cm="1">
        <f t="array" ref="O282">_xlfn.IFS(AND(K282="Broker",J282="Resale"),F282*0.5,AND(K282="Owner",J282="Resale"),F282*0,AND(K282="Builder",J282="Resale"),F282*0.3,AND(J282="New",K282="Broker"),F282*0.1,AND(J282="New",K282="Owner"),F282*0,AND(J282="New",K282="Builder"),F282*0.5)</f>
        <v>0</v>
      </c>
    </row>
    <row r="283" spans="1:15" x14ac:dyDescent="0.3">
      <c r="A283" s="8" t="s">
        <v>318</v>
      </c>
      <c r="B283" s="4" t="s">
        <v>180</v>
      </c>
      <c r="C283" s="4" t="s">
        <v>197</v>
      </c>
      <c r="D283" s="4">
        <v>4</v>
      </c>
      <c r="E283" s="4">
        <v>1204</v>
      </c>
      <c r="F283" s="4">
        <v>12066956</v>
      </c>
      <c r="G283" s="4">
        <v>2</v>
      </c>
      <c r="H283" s="4">
        <v>2</v>
      </c>
      <c r="I283" s="4" t="s">
        <v>8</v>
      </c>
      <c r="J283" s="4" t="s">
        <v>19</v>
      </c>
      <c r="K283" s="4" t="s">
        <v>24</v>
      </c>
      <c r="L283" s="9">
        <v>45526</v>
      </c>
      <c r="M283" s="9" t="str">
        <f>TEXT(Source_data[[#This Row],[Listing_Date]],"mmm-yy")</f>
        <v>Aug-24</v>
      </c>
      <c r="N283" s="4">
        <f t="shared" si="4"/>
        <v>10022.388704318937</v>
      </c>
      <c r="O283" s="3" cm="1">
        <f t="array" ref="O283">_xlfn.IFS(AND(K283="Broker",J283="Resale"),F283*0.5,AND(K283="Owner",J283="Resale"),F283*0,AND(K283="Builder",J283="Resale"),F283*0.3,AND(J283="New",K283="Broker"),F283*0.1,AND(J283="New",K283="Owner"),F283*0,AND(J283="New",K283="Builder"),F283*0.5)</f>
        <v>6033478</v>
      </c>
    </row>
    <row r="284" spans="1:15" x14ac:dyDescent="0.3">
      <c r="A284" s="8" t="s">
        <v>319</v>
      </c>
      <c r="B284" s="4" t="s">
        <v>180</v>
      </c>
      <c r="C284" s="4" t="s">
        <v>181</v>
      </c>
      <c r="D284" s="4">
        <v>1</v>
      </c>
      <c r="E284" s="4">
        <v>714</v>
      </c>
      <c r="F284" s="4">
        <v>7395943</v>
      </c>
      <c r="G284" s="4">
        <v>1</v>
      </c>
      <c r="H284" s="4">
        <v>2</v>
      </c>
      <c r="I284" s="4" t="s">
        <v>27</v>
      </c>
      <c r="J284" s="4" t="s">
        <v>23</v>
      </c>
      <c r="K284" s="4" t="s">
        <v>36</v>
      </c>
      <c r="L284" s="9">
        <v>45439</v>
      </c>
      <c r="M284" s="9" t="str">
        <f>TEXT(Source_data[[#This Row],[Listing_Date]],"mmm-yy")</f>
        <v>May-24</v>
      </c>
      <c r="N284" s="4">
        <f t="shared" si="4"/>
        <v>10358.463585434174</v>
      </c>
      <c r="O284" s="3" cm="1">
        <f t="array" ref="O284">_xlfn.IFS(AND(K284="Broker",J284="Resale"),F284*0.5,AND(K284="Owner",J284="Resale"),F284*0,AND(K284="Builder",J284="Resale"),F284*0.3,AND(J284="New",K284="Broker"),F284*0.1,AND(J284="New",K284="Owner"),F284*0,AND(J284="New",K284="Builder"),F284*0.5)</f>
        <v>0</v>
      </c>
    </row>
    <row r="285" spans="1:15" x14ac:dyDescent="0.3">
      <c r="A285" s="8" t="s">
        <v>320</v>
      </c>
      <c r="B285" s="4" t="s">
        <v>180</v>
      </c>
      <c r="C285" s="4" t="s">
        <v>187</v>
      </c>
      <c r="D285" s="4">
        <v>3</v>
      </c>
      <c r="E285" s="4">
        <v>1347</v>
      </c>
      <c r="F285" s="4">
        <v>14309400</v>
      </c>
      <c r="G285" s="4">
        <v>3</v>
      </c>
      <c r="H285" s="4">
        <v>2</v>
      </c>
      <c r="I285" s="4" t="s">
        <v>8</v>
      </c>
      <c r="J285" s="4" t="s">
        <v>19</v>
      </c>
      <c r="K285" s="4" t="s">
        <v>20</v>
      </c>
      <c r="L285" s="9">
        <v>45187</v>
      </c>
      <c r="M285" s="9" t="str">
        <f>TEXT(Source_data[[#This Row],[Listing_Date]],"mmm-yy")</f>
        <v>Sep-23</v>
      </c>
      <c r="N285" s="4">
        <f t="shared" si="4"/>
        <v>10623.162583518932</v>
      </c>
      <c r="O285" s="3" cm="1">
        <f t="array" ref="O285">_xlfn.IFS(AND(K285="Broker",J285="Resale"),F285*0.5,AND(K285="Owner",J285="Resale"),F285*0,AND(K285="Builder",J285="Resale"),F285*0.3,AND(J285="New",K285="Broker"),F285*0.1,AND(J285="New",K285="Owner"),F285*0,AND(J285="New",K285="Builder"),F285*0.5)</f>
        <v>1430940</v>
      </c>
    </row>
    <row r="286" spans="1:15" x14ac:dyDescent="0.3">
      <c r="A286" s="8" t="s">
        <v>321</v>
      </c>
      <c r="B286" s="4" t="s">
        <v>180</v>
      </c>
      <c r="C286" s="4" t="s">
        <v>192</v>
      </c>
      <c r="D286" s="4">
        <v>2</v>
      </c>
      <c r="E286" s="4">
        <v>1079</v>
      </c>
      <c r="F286" s="4">
        <v>8340719</v>
      </c>
      <c r="G286" s="4">
        <v>2</v>
      </c>
      <c r="H286" s="4">
        <v>3</v>
      </c>
      <c r="I286" s="4" t="s">
        <v>18</v>
      </c>
      <c r="J286" s="4" t="s">
        <v>23</v>
      </c>
      <c r="K286" s="4" t="s">
        <v>20</v>
      </c>
      <c r="L286" s="9">
        <v>45616</v>
      </c>
      <c r="M286" s="9" t="str">
        <f>TEXT(Source_data[[#This Row],[Listing_Date]],"mmm-yy")</f>
        <v>Nov-24</v>
      </c>
      <c r="N286" s="4">
        <f t="shared" si="4"/>
        <v>7730.0454124189064</v>
      </c>
      <c r="O286" s="3" cm="1">
        <f t="array" ref="O286">_xlfn.IFS(AND(K286="Broker",J286="Resale"),F286*0.5,AND(K286="Owner",J286="Resale"),F286*0,AND(K286="Builder",J286="Resale"),F286*0.3,AND(J286="New",K286="Broker"),F286*0.1,AND(J286="New",K286="Owner"),F286*0,AND(J286="New",K286="Builder"),F286*0.5)</f>
        <v>4170359.5</v>
      </c>
    </row>
    <row r="287" spans="1:15" x14ac:dyDescent="0.3">
      <c r="A287" s="8" t="s">
        <v>322</v>
      </c>
      <c r="B287" s="4" t="s">
        <v>180</v>
      </c>
      <c r="C287" s="4" t="s">
        <v>181</v>
      </c>
      <c r="D287" s="4">
        <v>4</v>
      </c>
      <c r="E287" s="4">
        <v>1822</v>
      </c>
      <c r="F287" s="4">
        <v>25346904</v>
      </c>
      <c r="G287" s="4">
        <v>3</v>
      </c>
      <c r="H287" s="4">
        <v>1</v>
      </c>
      <c r="I287" s="4" t="s">
        <v>27</v>
      </c>
      <c r="J287" s="4" t="s">
        <v>23</v>
      </c>
      <c r="K287" s="4" t="s">
        <v>20</v>
      </c>
      <c r="L287" s="9">
        <v>44947</v>
      </c>
      <c r="M287" s="9" t="str">
        <f>TEXT(Source_data[[#This Row],[Listing_Date]],"mmm-yy")</f>
        <v>Jan-23</v>
      </c>
      <c r="N287" s="4">
        <f t="shared" si="4"/>
        <v>13911.582875960483</v>
      </c>
      <c r="O287" s="3" cm="1">
        <f t="array" ref="O287">_xlfn.IFS(AND(K287="Broker",J287="Resale"),F287*0.5,AND(K287="Owner",J287="Resale"),F287*0,AND(K287="Builder",J287="Resale"),F287*0.3,AND(J287="New",K287="Broker"),F287*0.1,AND(J287="New",K287="Owner"),F287*0,AND(J287="New",K287="Builder"),F287*0.5)</f>
        <v>12673452</v>
      </c>
    </row>
    <row r="288" spans="1:15" x14ac:dyDescent="0.3">
      <c r="A288" s="8" t="s">
        <v>323</v>
      </c>
      <c r="B288" s="4" t="s">
        <v>180</v>
      </c>
      <c r="C288" s="4" t="s">
        <v>192</v>
      </c>
      <c r="D288" s="4">
        <v>5</v>
      </c>
      <c r="E288" s="4">
        <v>1975</v>
      </c>
      <c r="F288" s="4">
        <v>21434879</v>
      </c>
      <c r="G288" s="4">
        <v>3</v>
      </c>
      <c r="H288" s="4">
        <v>1</v>
      </c>
      <c r="I288" s="4" t="s">
        <v>8</v>
      </c>
      <c r="J288" s="4" t="s">
        <v>23</v>
      </c>
      <c r="K288" s="4" t="s">
        <v>36</v>
      </c>
      <c r="L288" s="9">
        <v>45247</v>
      </c>
      <c r="M288" s="9" t="str">
        <f>TEXT(Source_data[[#This Row],[Listing_Date]],"mmm-yy")</f>
        <v>Nov-23</v>
      </c>
      <c r="N288" s="4">
        <f t="shared" si="4"/>
        <v>10853.103291139241</v>
      </c>
      <c r="O288" s="3" cm="1">
        <f t="array" ref="O288">_xlfn.IFS(AND(K288="Broker",J288="Resale"),F288*0.5,AND(K288="Owner",J288="Resale"),F288*0,AND(K288="Builder",J288="Resale"),F288*0.3,AND(J288="New",K288="Broker"),F288*0.1,AND(J288="New",K288="Owner"),F288*0,AND(J288="New",K288="Builder"),F288*0.5)</f>
        <v>0</v>
      </c>
    </row>
    <row r="289" spans="1:15" x14ac:dyDescent="0.3">
      <c r="A289" s="8" t="s">
        <v>324</v>
      </c>
      <c r="B289" s="4" t="s">
        <v>180</v>
      </c>
      <c r="C289" s="4" t="s">
        <v>192</v>
      </c>
      <c r="D289" s="4">
        <v>2</v>
      </c>
      <c r="E289" s="4">
        <v>1204</v>
      </c>
      <c r="F289" s="4">
        <v>12066956</v>
      </c>
      <c r="G289" s="4">
        <v>2</v>
      </c>
      <c r="H289" s="4">
        <v>2</v>
      </c>
      <c r="I289" s="4" t="s">
        <v>8</v>
      </c>
      <c r="J289" s="4" t="s">
        <v>19</v>
      </c>
      <c r="K289" s="4" t="s">
        <v>24</v>
      </c>
      <c r="L289" s="9">
        <v>45153</v>
      </c>
      <c r="M289" s="9" t="str">
        <f>TEXT(Source_data[[#This Row],[Listing_Date]],"mmm-yy")</f>
        <v>Aug-23</v>
      </c>
      <c r="N289" s="4">
        <f t="shared" si="4"/>
        <v>10022.388704318937</v>
      </c>
      <c r="O289" s="3" cm="1">
        <f t="array" ref="O289">_xlfn.IFS(AND(K289="Broker",J289="Resale"),F289*0.5,AND(K289="Owner",J289="Resale"),F289*0,AND(K289="Builder",J289="Resale"),F289*0.3,AND(J289="New",K289="Broker"),F289*0.1,AND(J289="New",K289="Owner"),F289*0,AND(J289="New",K289="Builder"),F289*0.5)</f>
        <v>6033478</v>
      </c>
    </row>
    <row r="290" spans="1:15" x14ac:dyDescent="0.3">
      <c r="A290" s="8" t="s">
        <v>325</v>
      </c>
      <c r="B290" s="4" t="s">
        <v>180</v>
      </c>
      <c r="C290" s="4" t="s">
        <v>187</v>
      </c>
      <c r="D290" s="4">
        <v>3</v>
      </c>
      <c r="E290" s="4">
        <v>1555</v>
      </c>
      <c r="F290" s="4">
        <v>16693739</v>
      </c>
      <c r="G290" s="4">
        <v>3</v>
      </c>
      <c r="H290" s="4">
        <v>1</v>
      </c>
      <c r="I290" s="4" t="s">
        <v>27</v>
      </c>
      <c r="J290" s="4" t="s">
        <v>19</v>
      </c>
      <c r="K290" s="4" t="s">
        <v>24</v>
      </c>
      <c r="L290" s="9">
        <v>45478</v>
      </c>
      <c r="M290" s="9" t="str">
        <f>TEXT(Source_data[[#This Row],[Listing_Date]],"mmm-yy")</f>
        <v>Jul-24</v>
      </c>
      <c r="N290" s="4">
        <f t="shared" si="4"/>
        <v>10735.52347266881</v>
      </c>
      <c r="O290" s="3" cm="1">
        <f t="array" ref="O290">_xlfn.IFS(AND(K290="Broker",J290="Resale"),F290*0.5,AND(K290="Owner",J290="Resale"),F290*0,AND(K290="Builder",J290="Resale"),F290*0.3,AND(J290="New",K290="Broker"),F290*0.1,AND(J290="New",K290="Owner"),F290*0,AND(J290="New",K290="Builder"),F290*0.5)</f>
        <v>8346869.5</v>
      </c>
    </row>
    <row r="291" spans="1:15" x14ac:dyDescent="0.3">
      <c r="A291" s="8" t="s">
        <v>326</v>
      </c>
      <c r="B291" s="4" t="s">
        <v>180</v>
      </c>
      <c r="C291" s="4" t="s">
        <v>183</v>
      </c>
      <c r="D291" s="4">
        <v>3</v>
      </c>
      <c r="E291" s="4">
        <v>912</v>
      </c>
      <c r="F291" s="4">
        <v>10791205</v>
      </c>
      <c r="G291" s="4">
        <v>3</v>
      </c>
      <c r="H291" s="4">
        <v>4</v>
      </c>
      <c r="I291" s="4" t="s">
        <v>27</v>
      </c>
      <c r="J291" s="4" t="s">
        <v>19</v>
      </c>
      <c r="K291" s="4" t="s">
        <v>20</v>
      </c>
      <c r="L291" s="9">
        <v>45490</v>
      </c>
      <c r="M291" s="9" t="str">
        <f>TEXT(Source_data[[#This Row],[Listing_Date]],"mmm-yy")</f>
        <v>Jul-24</v>
      </c>
      <c r="N291" s="4">
        <f t="shared" si="4"/>
        <v>11832.461622807017</v>
      </c>
      <c r="O291" s="3" cm="1">
        <f t="array" ref="O291">_xlfn.IFS(AND(K291="Broker",J291="Resale"),F291*0.5,AND(K291="Owner",J291="Resale"),F291*0,AND(K291="Builder",J291="Resale"),F291*0.3,AND(J291="New",K291="Broker"),F291*0.1,AND(J291="New",K291="Owner"),F291*0,AND(J291="New",K291="Builder"),F291*0.5)</f>
        <v>1079120.5</v>
      </c>
    </row>
    <row r="292" spans="1:15" x14ac:dyDescent="0.3">
      <c r="A292" s="8" t="s">
        <v>327</v>
      </c>
      <c r="B292" s="4" t="s">
        <v>180</v>
      </c>
      <c r="C292" s="4" t="s">
        <v>192</v>
      </c>
      <c r="D292" s="4">
        <v>3</v>
      </c>
      <c r="E292" s="4">
        <v>1729</v>
      </c>
      <c r="F292" s="4">
        <v>20109853</v>
      </c>
      <c r="G292" s="4">
        <v>3</v>
      </c>
      <c r="H292" s="4">
        <v>2</v>
      </c>
      <c r="I292" s="4" t="s">
        <v>27</v>
      </c>
      <c r="J292" s="4" t="s">
        <v>19</v>
      </c>
      <c r="K292" s="4" t="s">
        <v>24</v>
      </c>
      <c r="L292" s="9">
        <v>45704</v>
      </c>
      <c r="M292" s="9" t="str">
        <f>TEXT(Source_data[[#This Row],[Listing_Date]],"mmm-yy")</f>
        <v>Feb-25</v>
      </c>
      <c r="N292" s="4">
        <f t="shared" si="4"/>
        <v>11630.915558126084</v>
      </c>
      <c r="O292" s="3" cm="1">
        <f t="array" ref="O292">_xlfn.IFS(AND(K292="Broker",J292="Resale"),F292*0.5,AND(K292="Owner",J292="Resale"),F292*0,AND(K292="Builder",J292="Resale"),F292*0.3,AND(J292="New",K292="Broker"),F292*0.1,AND(J292="New",K292="Owner"),F292*0,AND(J292="New",K292="Builder"),F292*0.5)</f>
        <v>10054926.5</v>
      </c>
    </row>
    <row r="293" spans="1:15" x14ac:dyDescent="0.3">
      <c r="A293" s="8" t="s">
        <v>328</v>
      </c>
      <c r="B293" s="4" t="s">
        <v>329</v>
      </c>
      <c r="C293" s="4" t="s">
        <v>330</v>
      </c>
      <c r="D293" s="4">
        <v>2</v>
      </c>
      <c r="E293" s="4">
        <v>1080</v>
      </c>
      <c r="F293" s="4">
        <v>11042900</v>
      </c>
      <c r="G293" s="4">
        <v>1</v>
      </c>
      <c r="H293" s="4">
        <v>4</v>
      </c>
      <c r="I293" s="4" t="s">
        <v>8</v>
      </c>
      <c r="J293" s="4" t="s">
        <v>23</v>
      </c>
      <c r="K293" s="4" t="s">
        <v>24</v>
      </c>
      <c r="L293" s="9">
        <v>45507</v>
      </c>
      <c r="M293" s="9" t="str">
        <f>TEXT(Source_data[[#This Row],[Listing_Date]],"mmm-yy")</f>
        <v>Aug-24</v>
      </c>
      <c r="N293" s="4">
        <f t="shared" si="4"/>
        <v>10224.907407407407</v>
      </c>
      <c r="O293" s="3" cm="1">
        <f t="array" ref="O293">_xlfn.IFS(AND(K293="Broker",J293="Resale"),F293*0.5,AND(K293="Owner",J293="Resale"),F293*0,AND(K293="Builder",J293="Resale"),F293*0.3,AND(J293="New",K293="Broker"),F293*0.1,AND(J293="New",K293="Owner"),F293*0,AND(J293="New",K293="Builder"),F293*0.5)</f>
        <v>3312870</v>
      </c>
    </row>
    <row r="294" spans="1:15" x14ac:dyDescent="0.3">
      <c r="A294" s="8" t="s">
        <v>331</v>
      </c>
      <c r="B294" s="4" t="s">
        <v>329</v>
      </c>
      <c r="C294" s="4" t="s">
        <v>332</v>
      </c>
      <c r="D294" s="4">
        <v>2</v>
      </c>
      <c r="E294" s="4">
        <v>1138</v>
      </c>
      <c r="F294" s="4">
        <v>9389965</v>
      </c>
      <c r="G294" s="4">
        <v>2</v>
      </c>
      <c r="H294" s="4">
        <v>2</v>
      </c>
      <c r="I294" s="4" t="s">
        <v>8</v>
      </c>
      <c r="J294" s="4" t="s">
        <v>19</v>
      </c>
      <c r="K294" s="4" t="s">
        <v>36</v>
      </c>
      <c r="L294" s="9">
        <v>45614</v>
      </c>
      <c r="M294" s="9" t="str">
        <f>TEXT(Source_data[[#This Row],[Listing_Date]],"mmm-yy")</f>
        <v>Nov-24</v>
      </c>
      <c r="N294" s="4">
        <f t="shared" si="4"/>
        <v>8251.2873462214411</v>
      </c>
      <c r="O294" s="3" cm="1">
        <f t="array" ref="O294">_xlfn.IFS(AND(K294="Broker",J294="Resale"),F294*0.5,AND(K294="Owner",J294="Resale"),F294*0,AND(K294="Builder",J294="Resale"),F294*0.3,AND(J294="New",K294="Broker"),F294*0.1,AND(J294="New",K294="Owner"),F294*0,AND(J294="New",K294="Builder"),F294*0.5)</f>
        <v>0</v>
      </c>
    </row>
    <row r="295" spans="1:15" x14ac:dyDescent="0.3">
      <c r="A295" s="8" t="s">
        <v>333</v>
      </c>
      <c r="B295" s="4" t="s">
        <v>329</v>
      </c>
      <c r="C295" s="4" t="s">
        <v>330</v>
      </c>
      <c r="D295" s="4">
        <v>2</v>
      </c>
      <c r="E295" s="4">
        <v>810</v>
      </c>
      <c r="F295" s="4">
        <v>8674065</v>
      </c>
      <c r="G295" s="4">
        <v>1</v>
      </c>
      <c r="H295" s="4">
        <v>3</v>
      </c>
      <c r="I295" s="4" t="s">
        <v>18</v>
      </c>
      <c r="J295" s="4" t="s">
        <v>23</v>
      </c>
      <c r="K295" s="4" t="s">
        <v>20</v>
      </c>
      <c r="L295" s="9">
        <v>45176</v>
      </c>
      <c r="M295" s="9" t="str">
        <f>TEXT(Source_data[[#This Row],[Listing_Date]],"mmm-yy")</f>
        <v>Sep-23</v>
      </c>
      <c r="N295" s="4">
        <f t="shared" si="4"/>
        <v>10708.722222222223</v>
      </c>
      <c r="O295" s="3" cm="1">
        <f t="array" ref="O295">_xlfn.IFS(AND(K295="Broker",J295="Resale"),F295*0.5,AND(K295="Owner",J295="Resale"),F295*0,AND(K295="Builder",J295="Resale"),F295*0.3,AND(J295="New",K295="Broker"),F295*0.1,AND(J295="New",K295="Owner"),F295*0,AND(J295="New",K295="Builder"),F295*0.5)</f>
        <v>4337032.5</v>
      </c>
    </row>
    <row r="296" spans="1:15" x14ac:dyDescent="0.3">
      <c r="A296" s="8" t="s">
        <v>334</v>
      </c>
      <c r="B296" s="4" t="s">
        <v>329</v>
      </c>
      <c r="C296" s="4" t="s">
        <v>332</v>
      </c>
      <c r="D296" s="4">
        <v>3</v>
      </c>
      <c r="E296" s="4">
        <v>1393</v>
      </c>
      <c r="F296" s="4">
        <v>11711541</v>
      </c>
      <c r="G296" s="4">
        <v>4</v>
      </c>
      <c r="H296" s="4">
        <v>3</v>
      </c>
      <c r="I296" s="4" t="s">
        <v>27</v>
      </c>
      <c r="J296" s="4" t="s">
        <v>19</v>
      </c>
      <c r="K296" s="4" t="s">
        <v>36</v>
      </c>
      <c r="L296" s="9">
        <v>45049</v>
      </c>
      <c r="M296" s="9" t="str">
        <f>TEXT(Source_data[[#This Row],[Listing_Date]],"mmm-yy")</f>
        <v>May-23</v>
      </c>
      <c r="N296" s="4">
        <f t="shared" si="4"/>
        <v>8407.4235463029436</v>
      </c>
      <c r="O296" s="3" cm="1">
        <f t="array" ref="O296">_xlfn.IFS(AND(K296="Broker",J296="Resale"),F296*0.5,AND(K296="Owner",J296="Resale"),F296*0,AND(K296="Builder",J296="Resale"),F296*0.3,AND(J296="New",K296="Broker"),F296*0.1,AND(J296="New",K296="Owner"),F296*0,AND(J296="New",K296="Builder"),F296*0.5)</f>
        <v>0</v>
      </c>
    </row>
    <row r="297" spans="1:15" x14ac:dyDescent="0.3">
      <c r="A297" s="8" t="s">
        <v>335</v>
      </c>
      <c r="B297" s="4" t="s">
        <v>329</v>
      </c>
      <c r="C297" s="4" t="s">
        <v>336</v>
      </c>
      <c r="D297" s="4">
        <v>2</v>
      </c>
      <c r="E297" s="4">
        <v>832</v>
      </c>
      <c r="F297" s="4">
        <v>7781739</v>
      </c>
      <c r="G297" s="4">
        <v>2</v>
      </c>
      <c r="H297" s="4">
        <v>0</v>
      </c>
      <c r="I297" s="4" t="s">
        <v>8</v>
      </c>
      <c r="J297" s="4" t="s">
        <v>19</v>
      </c>
      <c r="K297" s="4" t="s">
        <v>20</v>
      </c>
      <c r="L297" s="9">
        <v>45570</v>
      </c>
      <c r="M297" s="9" t="str">
        <f>TEXT(Source_data[[#This Row],[Listing_Date]],"mmm-yy")</f>
        <v>Oct-24</v>
      </c>
      <c r="N297" s="4">
        <f t="shared" si="4"/>
        <v>9353.0516826923085</v>
      </c>
      <c r="O297" s="3" cm="1">
        <f t="array" ref="O297">_xlfn.IFS(AND(K297="Broker",J297="Resale"),F297*0.5,AND(K297="Owner",J297="Resale"),F297*0,AND(K297="Builder",J297="Resale"),F297*0.3,AND(J297="New",K297="Broker"),F297*0.1,AND(J297="New",K297="Owner"),F297*0,AND(J297="New",K297="Builder"),F297*0.5)</f>
        <v>778173.9</v>
      </c>
    </row>
    <row r="298" spans="1:15" x14ac:dyDescent="0.3">
      <c r="A298" s="8" t="s">
        <v>337</v>
      </c>
      <c r="B298" s="4" t="s">
        <v>329</v>
      </c>
      <c r="C298" s="4" t="s">
        <v>332</v>
      </c>
      <c r="D298" s="4">
        <v>2</v>
      </c>
      <c r="E298" s="4">
        <v>843</v>
      </c>
      <c r="F298" s="4">
        <v>8835971</v>
      </c>
      <c r="G298" s="4">
        <v>2</v>
      </c>
      <c r="H298" s="4">
        <v>2</v>
      </c>
      <c r="I298" s="4" t="s">
        <v>8</v>
      </c>
      <c r="J298" s="4" t="s">
        <v>23</v>
      </c>
      <c r="K298" s="4" t="s">
        <v>20</v>
      </c>
      <c r="L298" s="9">
        <v>44997</v>
      </c>
      <c r="M298" s="9" t="str">
        <f>TEXT(Source_data[[#This Row],[Listing_Date]],"mmm-yy")</f>
        <v>Mar-23</v>
      </c>
      <c r="N298" s="4">
        <f t="shared" si="4"/>
        <v>10481.578884934757</v>
      </c>
      <c r="O298" s="3" cm="1">
        <f t="array" ref="O298">_xlfn.IFS(AND(K298="Broker",J298="Resale"),F298*0.5,AND(K298="Owner",J298="Resale"),F298*0,AND(K298="Builder",J298="Resale"),F298*0.3,AND(J298="New",K298="Broker"),F298*0.1,AND(J298="New",K298="Owner"),F298*0,AND(J298="New",K298="Builder"),F298*0.5)</f>
        <v>4417985.5</v>
      </c>
    </row>
    <row r="299" spans="1:15" x14ac:dyDescent="0.3">
      <c r="A299" s="8" t="s">
        <v>338</v>
      </c>
      <c r="B299" s="4" t="s">
        <v>329</v>
      </c>
      <c r="C299" s="4" t="s">
        <v>339</v>
      </c>
      <c r="D299" s="4">
        <v>3</v>
      </c>
      <c r="E299" s="4">
        <v>1369</v>
      </c>
      <c r="F299" s="4">
        <v>13199397</v>
      </c>
      <c r="G299" s="4">
        <v>3</v>
      </c>
      <c r="H299" s="4">
        <v>1</v>
      </c>
      <c r="I299" s="4" t="s">
        <v>27</v>
      </c>
      <c r="J299" s="4" t="s">
        <v>23</v>
      </c>
      <c r="K299" s="4" t="s">
        <v>24</v>
      </c>
      <c r="L299" s="9">
        <v>44979</v>
      </c>
      <c r="M299" s="9" t="str">
        <f>TEXT(Source_data[[#This Row],[Listing_Date]],"mmm-yy")</f>
        <v>Feb-23</v>
      </c>
      <c r="N299" s="4">
        <f t="shared" si="4"/>
        <v>9641.6340394448507</v>
      </c>
      <c r="O299" s="3" cm="1">
        <f t="array" ref="O299">_xlfn.IFS(AND(K299="Broker",J299="Resale"),F299*0.5,AND(K299="Owner",J299="Resale"),F299*0,AND(K299="Builder",J299="Resale"),F299*0.3,AND(J299="New",K299="Broker"),F299*0.1,AND(J299="New",K299="Owner"),F299*0,AND(J299="New",K299="Builder"),F299*0.5)</f>
        <v>3959819.0999999996</v>
      </c>
    </row>
    <row r="300" spans="1:15" x14ac:dyDescent="0.3">
      <c r="A300" s="8" t="s">
        <v>340</v>
      </c>
      <c r="B300" s="4" t="s">
        <v>329</v>
      </c>
      <c r="C300" s="4" t="s">
        <v>332</v>
      </c>
      <c r="D300" s="4">
        <v>2</v>
      </c>
      <c r="E300" s="4">
        <v>872</v>
      </c>
      <c r="F300" s="4">
        <v>6032491</v>
      </c>
      <c r="G300" s="4">
        <v>2</v>
      </c>
      <c r="H300" s="4">
        <v>2</v>
      </c>
      <c r="I300" s="4" t="s">
        <v>27</v>
      </c>
      <c r="J300" s="4" t="s">
        <v>23</v>
      </c>
      <c r="K300" s="4" t="s">
        <v>24</v>
      </c>
      <c r="L300" s="9">
        <v>45854</v>
      </c>
      <c r="M300" s="9" t="str">
        <f>TEXT(Source_data[[#This Row],[Listing_Date]],"mmm-yy")</f>
        <v>Jul-25</v>
      </c>
      <c r="N300" s="4">
        <f t="shared" si="4"/>
        <v>6917.994266055046</v>
      </c>
      <c r="O300" s="3" cm="1">
        <f t="array" ref="O300">_xlfn.IFS(AND(K300="Broker",J300="Resale"),F300*0.5,AND(K300="Owner",J300="Resale"),F300*0,AND(K300="Builder",J300="Resale"),F300*0.3,AND(J300="New",K300="Broker"),F300*0.1,AND(J300="New",K300="Owner"),F300*0,AND(J300="New",K300="Builder"),F300*0.5)</f>
        <v>1809747.3</v>
      </c>
    </row>
    <row r="301" spans="1:15" x14ac:dyDescent="0.3">
      <c r="A301" s="8" t="s">
        <v>341</v>
      </c>
      <c r="B301" s="4" t="s">
        <v>329</v>
      </c>
      <c r="C301" s="4" t="s">
        <v>339</v>
      </c>
      <c r="D301" s="4">
        <v>2</v>
      </c>
      <c r="E301" s="4">
        <v>677</v>
      </c>
      <c r="F301" s="4">
        <v>5154758</v>
      </c>
      <c r="G301" s="4">
        <v>2</v>
      </c>
      <c r="H301" s="4">
        <v>4</v>
      </c>
      <c r="I301" s="4" t="s">
        <v>27</v>
      </c>
      <c r="J301" s="4" t="s">
        <v>19</v>
      </c>
      <c r="K301" s="4" t="s">
        <v>24</v>
      </c>
      <c r="L301" s="9">
        <v>45436</v>
      </c>
      <c r="M301" s="9" t="str">
        <f>TEXT(Source_data[[#This Row],[Listing_Date]],"mmm-yy")</f>
        <v>May-24</v>
      </c>
      <c r="N301" s="4">
        <f t="shared" si="4"/>
        <v>7614.1181683899558</v>
      </c>
      <c r="O301" s="3" cm="1">
        <f t="array" ref="O301">_xlfn.IFS(AND(K301="Broker",J301="Resale"),F301*0.5,AND(K301="Owner",J301="Resale"),F301*0,AND(K301="Builder",J301="Resale"),F301*0.3,AND(J301="New",K301="Broker"),F301*0.1,AND(J301="New",K301="Owner"),F301*0,AND(J301="New",K301="Builder"),F301*0.5)</f>
        <v>2577379</v>
      </c>
    </row>
    <row r="302" spans="1:15" x14ac:dyDescent="0.3">
      <c r="A302" s="8" t="s">
        <v>342</v>
      </c>
      <c r="B302" s="4" t="s">
        <v>329</v>
      </c>
      <c r="C302" s="4" t="s">
        <v>339</v>
      </c>
      <c r="D302" s="4">
        <v>3</v>
      </c>
      <c r="E302" s="4">
        <v>1458</v>
      </c>
      <c r="F302" s="4">
        <v>29795445</v>
      </c>
      <c r="G302" s="4">
        <v>3</v>
      </c>
      <c r="H302" s="4">
        <v>0</v>
      </c>
      <c r="I302" s="4" t="s">
        <v>8</v>
      </c>
      <c r="J302" s="4" t="s">
        <v>19</v>
      </c>
      <c r="K302" s="4" t="s">
        <v>20</v>
      </c>
      <c r="L302" s="9">
        <v>45400</v>
      </c>
      <c r="M302" s="9" t="str">
        <f>TEXT(Source_data[[#This Row],[Listing_Date]],"mmm-yy")</f>
        <v>Apr-24</v>
      </c>
      <c r="N302" s="4">
        <f t="shared" si="4"/>
        <v>20435.833333333332</v>
      </c>
      <c r="O302" s="3" cm="1">
        <f t="array" ref="O302">_xlfn.IFS(AND(K302="Broker",J302="Resale"),F302*0.5,AND(K302="Owner",J302="Resale"),F302*0,AND(K302="Builder",J302="Resale"),F302*0.3,AND(J302="New",K302="Broker"),F302*0.1,AND(J302="New",K302="Owner"),F302*0,AND(J302="New",K302="Builder"),F302*0.5)</f>
        <v>2979544.5</v>
      </c>
    </row>
    <row r="303" spans="1:15" x14ac:dyDescent="0.3">
      <c r="A303" s="8" t="s">
        <v>343</v>
      </c>
      <c r="B303" s="4" t="s">
        <v>329</v>
      </c>
      <c r="C303" s="4" t="s">
        <v>332</v>
      </c>
      <c r="D303" s="4">
        <v>3</v>
      </c>
      <c r="E303" s="4">
        <v>1639</v>
      </c>
      <c r="F303" s="4">
        <v>11523389</v>
      </c>
      <c r="G303" s="4">
        <v>3</v>
      </c>
      <c r="H303" s="4">
        <v>2</v>
      </c>
      <c r="I303" s="4" t="s">
        <v>8</v>
      </c>
      <c r="J303" s="4" t="s">
        <v>19</v>
      </c>
      <c r="K303" s="4" t="s">
        <v>36</v>
      </c>
      <c r="L303" s="9">
        <v>45692</v>
      </c>
      <c r="M303" s="9" t="str">
        <f>TEXT(Source_data[[#This Row],[Listing_Date]],"mmm-yy")</f>
        <v>Feb-25</v>
      </c>
      <c r="N303" s="4">
        <f t="shared" si="4"/>
        <v>7030.7437461866994</v>
      </c>
      <c r="O303" s="3" cm="1">
        <f t="array" ref="O303">_xlfn.IFS(AND(K303="Broker",J303="Resale"),F303*0.5,AND(K303="Owner",J303="Resale"),F303*0,AND(K303="Builder",J303="Resale"),F303*0.3,AND(J303="New",K303="Broker"),F303*0.1,AND(J303="New",K303="Owner"),F303*0,AND(J303="New",K303="Builder"),F303*0.5)</f>
        <v>0</v>
      </c>
    </row>
    <row r="304" spans="1:15" x14ac:dyDescent="0.3">
      <c r="A304" s="8" t="s">
        <v>344</v>
      </c>
      <c r="B304" s="4" t="s">
        <v>329</v>
      </c>
      <c r="C304" s="4" t="s">
        <v>332</v>
      </c>
      <c r="D304" s="4">
        <v>4</v>
      </c>
      <c r="E304" s="4">
        <v>1416</v>
      </c>
      <c r="F304" s="4">
        <v>13904025</v>
      </c>
      <c r="G304" s="4">
        <v>3</v>
      </c>
      <c r="H304" s="4">
        <v>3</v>
      </c>
      <c r="I304" s="4" t="s">
        <v>18</v>
      </c>
      <c r="J304" s="4" t="s">
        <v>19</v>
      </c>
      <c r="K304" s="4" t="s">
        <v>20</v>
      </c>
      <c r="L304" s="9">
        <v>45252</v>
      </c>
      <c r="M304" s="9" t="str">
        <f>TEXT(Source_data[[#This Row],[Listing_Date]],"mmm-yy")</f>
        <v>Nov-23</v>
      </c>
      <c r="N304" s="4">
        <f t="shared" si="4"/>
        <v>9819.2266949152545</v>
      </c>
      <c r="O304" s="3" cm="1">
        <f t="array" ref="O304">_xlfn.IFS(AND(K304="Broker",J304="Resale"),F304*0.5,AND(K304="Owner",J304="Resale"),F304*0,AND(K304="Builder",J304="Resale"),F304*0.3,AND(J304="New",K304="Broker"),F304*0.1,AND(J304="New",K304="Owner"),F304*0,AND(J304="New",K304="Builder"),F304*0.5)</f>
        <v>1390402.5</v>
      </c>
    </row>
    <row r="305" spans="1:15" x14ac:dyDescent="0.3">
      <c r="A305" s="8" t="s">
        <v>345</v>
      </c>
      <c r="B305" s="4" t="s">
        <v>329</v>
      </c>
      <c r="C305" s="4" t="s">
        <v>332</v>
      </c>
      <c r="D305" s="4">
        <v>2</v>
      </c>
      <c r="E305" s="4">
        <v>1249</v>
      </c>
      <c r="F305" s="4">
        <v>10187339</v>
      </c>
      <c r="G305" s="4">
        <v>3</v>
      </c>
      <c r="H305" s="4">
        <v>3</v>
      </c>
      <c r="I305" s="4" t="s">
        <v>8</v>
      </c>
      <c r="J305" s="4" t="s">
        <v>23</v>
      </c>
      <c r="K305" s="4" t="s">
        <v>36</v>
      </c>
      <c r="L305" s="9">
        <v>45055</v>
      </c>
      <c r="M305" s="9" t="str">
        <f>TEXT(Source_data[[#This Row],[Listing_Date]],"mmm-yy")</f>
        <v>May-23</v>
      </c>
      <c r="N305" s="4">
        <f t="shared" si="4"/>
        <v>8156.3963170536426</v>
      </c>
      <c r="O305" s="3" cm="1">
        <f t="array" ref="O305">_xlfn.IFS(AND(K305="Broker",J305="Resale"),F305*0.5,AND(K305="Owner",J305="Resale"),F305*0,AND(K305="Builder",J305="Resale"),F305*0.3,AND(J305="New",K305="Broker"),F305*0.1,AND(J305="New",K305="Owner"),F305*0,AND(J305="New",K305="Builder"),F305*0.5)</f>
        <v>0</v>
      </c>
    </row>
    <row r="306" spans="1:15" x14ac:dyDescent="0.3">
      <c r="A306" s="8" t="s">
        <v>346</v>
      </c>
      <c r="B306" s="4" t="s">
        <v>329</v>
      </c>
      <c r="C306" s="4" t="s">
        <v>332</v>
      </c>
      <c r="D306" s="4">
        <v>3</v>
      </c>
      <c r="E306" s="4">
        <v>1209</v>
      </c>
      <c r="F306" s="4">
        <v>9254193</v>
      </c>
      <c r="G306" s="4">
        <v>2</v>
      </c>
      <c r="H306" s="4">
        <v>2</v>
      </c>
      <c r="I306" s="4" t="s">
        <v>27</v>
      </c>
      <c r="J306" s="4" t="s">
        <v>19</v>
      </c>
      <c r="K306" s="4" t="s">
        <v>36</v>
      </c>
      <c r="L306" s="9">
        <v>45373</v>
      </c>
      <c r="M306" s="9" t="str">
        <f>TEXT(Source_data[[#This Row],[Listing_Date]],"mmm-yy")</f>
        <v>Mar-24</v>
      </c>
      <c r="N306" s="4">
        <f t="shared" si="4"/>
        <v>7654.4193548387093</v>
      </c>
      <c r="O306" s="3" cm="1">
        <f t="array" ref="O306">_xlfn.IFS(AND(K306="Broker",J306="Resale"),F306*0.5,AND(K306="Owner",J306="Resale"),F306*0,AND(K306="Builder",J306="Resale"),F306*0.3,AND(J306="New",K306="Broker"),F306*0.1,AND(J306="New",K306="Owner"),F306*0,AND(J306="New",K306="Builder"),F306*0.5)</f>
        <v>0</v>
      </c>
    </row>
    <row r="307" spans="1:15" x14ac:dyDescent="0.3">
      <c r="A307" s="8" t="s">
        <v>347</v>
      </c>
      <c r="B307" s="4" t="s">
        <v>329</v>
      </c>
      <c r="C307" s="4" t="s">
        <v>339</v>
      </c>
      <c r="D307" s="4">
        <v>2</v>
      </c>
      <c r="E307" s="4">
        <v>835</v>
      </c>
      <c r="F307" s="4">
        <v>7048440</v>
      </c>
      <c r="G307" s="4">
        <v>2</v>
      </c>
      <c r="H307" s="4">
        <v>2</v>
      </c>
      <c r="I307" s="4" t="s">
        <v>18</v>
      </c>
      <c r="J307" s="4" t="s">
        <v>23</v>
      </c>
      <c r="K307" s="4" t="s">
        <v>24</v>
      </c>
      <c r="L307" s="9">
        <v>45034</v>
      </c>
      <c r="M307" s="9" t="str">
        <f>TEXT(Source_data[[#This Row],[Listing_Date]],"mmm-yy")</f>
        <v>Apr-23</v>
      </c>
      <c r="N307" s="4">
        <f t="shared" si="4"/>
        <v>8441.245508982036</v>
      </c>
      <c r="O307" s="3" cm="1">
        <f t="array" ref="O307">_xlfn.IFS(AND(K307="Broker",J307="Resale"),F307*0.5,AND(K307="Owner",J307="Resale"),F307*0,AND(K307="Builder",J307="Resale"),F307*0.3,AND(J307="New",K307="Broker"),F307*0.1,AND(J307="New",K307="Owner"),F307*0,AND(J307="New",K307="Builder"),F307*0.5)</f>
        <v>2114532</v>
      </c>
    </row>
    <row r="308" spans="1:15" x14ac:dyDescent="0.3">
      <c r="A308" s="8" t="s">
        <v>348</v>
      </c>
      <c r="B308" s="4" t="s">
        <v>329</v>
      </c>
      <c r="C308" s="4" t="s">
        <v>332</v>
      </c>
      <c r="D308" s="4">
        <v>3</v>
      </c>
      <c r="E308" s="4">
        <v>1066</v>
      </c>
      <c r="F308" s="4">
        <v>4623349</v>
      </c>
      <c r="G308" s="4">
        <v>3</v>
      </c>
      <c r="H308" s="4">
        <v>1</v>
      </c>
      <c r="I308" s="4" t="s">
        <v>18</v>
      </c>
      <c r="J308" s="4" t="s">
        <v>23</v>
      </c>
      <c r="K308" s="4" t="s">
        <v>20</v>
      </c>
      <c r="L308" s="9">
        <v>45848</v>
      </c>
      <c r="M308" s="9" t="str">
        <f>TEXT(Source_data[[#This Row],[Listing_Date]],"mmm-yy")</f>
        <v>Jul-25</v>
      </c>
      <c r="N308" s="4">
        <f t="shared" si="4"/>
        <v>4337.1003752345214</v>
      </c>
      <c r="O308" s="3" cm="1">
        <f t="array" ref="O308">_xlfn.IFS(AND(K308="Broker",J308="Resale"),F308*0.5,AND(K308="Owner",J308="Resale"),F308*0,AND(K308="Builder",J308="Resale"),F308*0.3,AND(J308="New",K308="Broker"),F308*0.1,AND(J308="New",K308="Owner"),F308*0,AND(J308="New",K308="Builder"),F308*0.5)</f>
        <v>2311674.5</v>
      </c>
    </row>
    <row r="309" spans="1:15" x14ac:dyDescent="0.3">
      <c r="A309" s="8" t="s">
        <v>349</v>
      </c>
      <c r="B309" s="4" t="s">
        <v>329</v>
      </c>
      <c r="C309" s="4" t="s">
        <v>339</v>
      </c>
      <c r="D309" s="4">
        <v>4</v>
      </c>
      <c r="E309" s="4">
        <v>1820</v>
      </c>
      <c r="F309" s="4">
        <v>15529278</v>
      </c>
      <c r="G309" s="4">
        <v>3</v>
      </c>
      <c r="H309" s="4">
        <v>2</v>
      </c>
      <c r="I309" s="4" t="s">
        <v>27</v>
      </c>
      <c r="J309" s="4" t="s">
        <v>19</v>
      </c>
      <c r="K309" s="4" t="s">
        <v>24</v>
      </c>
      <c r="L309" s="9">
        <v>45442</v>
      </c>
      <c r="M309" s="9" t="str">
        <f>TEXT(Source_data[[#This Row],[Listing_Date]],"mmm-yy")</f>
        <v>May-24</v>
      </c>
      <c r="N309" s="4">
        <f t="shared" si="4"/>
        <v>8532.5703296703305</v>
      </c>
      <c r="O309" s="3" cm="1">
        <f t="array" ref="O309">_xlfn.IFS(AND(K309="Broker",J309="Resale"),F309*0.5,AND(K309="Owner",J309="Resale"),F309*0,AND(K309="Builder",J309="Resale"),F309*0.3,AND(J309="New",K309="Broker"),F309*0.1,AND(J309="New",K309="Owner"),F309*0,AND(J309="New",K309="Builder"),F309*0.5)</f>
        <v>7764639</v>
      </c>
    </row>
    <row r="310" spans="1:15" x14ac:dyDescent="0.3">
      <c r="A310" s="8" t="s">
        <v>350</v>
      </c>
      <c r="B310" s="4" t="s">
        <v>329</v>
      </c>
      <c r="C310" s="4" t="s">
        <v>351</v>
      </c>
      <c r="D310" s="4">
        <v>2</v>
      </c>
      <c r="E310" s="4">
        <v>790</v>
      </c>
      <c r="F310" s="4">
        <v>7468429</v>
      </c>
      <c r="G310" s="4">
        <v>2</v>
      </c>
      <c r="H310" s="4">
        <v>1</v>
      </c>
      <c r="I310" s="4" t="s">
        <v>18</v>
      </c>
      <c r="J310" s="4" t="s">
        <v>19</v>
      </c>
      <c r="K310" s="4" t="s">
        <v>36</v>
      </c>
      <c r="L310" s="9">
        <v>45020</v>
      </c>
      <c r="M310" s="9" t="str">
        <f>TEXT(Source_data[[#This Row],[Listing_Date]],"mmm-yy")</f>
        <v>Apr-23</v>
      </c>
      <c r="N310" s="4">
        <f t="shared" si="4"/>
        <v>9453.7075949367081</v>
      </c>
      <c r="O310" s="3" cm="1">
        <f t="array" ref="O310">_xlfn.IFS(AND(K310="Broker",J310="Resale"),F310*0.5,AND(K310="Owner",J310="Resale"),F310*0,AND(K310="Builder",J310="Resale"),F310*0.3,AND(J310="New",K310="Broker"),F310*0.1,AND(J310="New",K310="Owner"),F310*0,AND(J310="New",K310="Builder"),F310*0.5)</f>
        <v>0</v>
      </c>
    </row>
    <row r="311" spans="1:15" x14ac:dyDescent="0.3">
      <c r="A311" s="8" t="s">
        <v>352</v>
      </c>
      <c r="B311" s="4" t="s">
        <v>329</v>
      </c>
      <c r="C311" s="4" t="s">
        <v>339</v>
      </c>
      <c r="D311" s="4">
        <v>3</v>
      </c>
      <c r="E311" s="4">
        <v>1269</v>
      </c>
      <c r="F311" s="4">
        <v>12840636</v>
      </c>
      <c r="G311" s="4">
        <v>3</v>
      </c>
      <c r="H311" s="4">
        <v>1</v>
      </c>
      <c r="I311" s="4" t="s">
        <v>18</v>
      </c>
      <c r="J311" s="4" t="s">
        <v>23</v>
      </c>
      <c r="K311" s="4" t="s">
        <v>20</v>
      </c>
      <c r="L311" s="9">
        <v>45478</v>
      </c>
      <c r="M311" s="9" t="str">
        <f>TEXT(Source_data[[#This Row],[Listing_Date]],"mmm-yy")</f>
        <v>Jul-24</v>
      </c>
      <c r="N311" s="4">
        <f t="shared" si="4"/>
        <v>10118.704491725768</v>
      </c>
      <c r="O311" s="3" cm="1">
        <f t="array" ref="O311">_xlfn.IFS(AND(K311="Broker",J311="Resale"),F311*0.5,AND(K311="Owner",J311="Resale"),F311*0,AND(K311="Builder",J311="Resale"),F311*0.3,AND(J311="New",K311="Broker"),F311*0.1,AND(J311="New",K311="Owner"),F311*0,AND(J311="New",K311="Builder"),F311*0.5)</f>
        <v>6420318</v>
      </c>
    </row>
    <row r="312" spans="1:15" x14ac:dyDescent="0.3">
      <c r="A312" s="8" t="s">
        <v>353</v>
      </c>
      <c r="B312" s="4" t="s">
        <v>329</v>
      </c>
      <c r="C312" s="4" t="s">
        <v>339</v>
      </c>
      <c r="D312" s="4">
        <v>3</v>
      </c>
      <c r="E312" s="4">
        <v>1266</v>
      </c>
      <c r="F312" s="4">
        <v>6358854</v>
      </c>
      <c r="G312" s="4">
        <v>4</v>
      </c>
      <c r="H312" s="4">
        <v>1</v>
      </c>
      <c r="I312" s="4" t="s">
        <v>27</v>
      </c>
      <c r="J312" s="4" t="s">
        <v>19</v>
      </c>
      <c r="K312" s="4" t="s">
        <v>20</v>
      </c>
      <c r="L312" s="9">
        <v>45323</v>
      </c>
      <c r="M312" s="9" t="str">
        <f>TEXT(Source_data[[#This Row],[Listing_Date]],"mmm-yy")</f>
        <v>Feb-24</v>
      </c>
      <c r="N312" s="4">
        <f t="shared" si="4"/>
        <v>5022.7914691943124</v>
      </c>
      <c r="O312" s="3" cm="1">
        <f t="array" ref="O312">_xlfn.IFS(AND(K312="Broker",J312="Resale"),F312*0.5,AND(K312="Owner",J312="Resale"),F312*0,AND(K312="Builder",J312="Resale"),F312*0.3,AND(J312="New",K312="Broker"),F312*0.1,AND(J312="New",K312="Owner"),F312*0,AND(J312="New",K312="Builder"),F312*0.5)</f>
        <v>635885.4</v>
      </c>
    </row>
    <row r="313" spans="1:15" x14ac:dyDescent="0.3">
      <c r="A313" s="8" t="s">
        <v>354</v>
      </c>
      <c r="B313" s="4" t="s">
        <v>329</v>
      </c>
      <c r="C313" s="4" t="s">
        <v>330</v>
      </c>
      <c r="D313" s="4">
        <v>2</v>
      </c>
      <c r="E313" s="4">
        <v>750</v>
      </c>
      <c r="F313" s="4">
        <v>5592795</v>
      </c>
      <c r="G313" s="4">
        <v>2</v>
      </c>
      <c r="H313" s="4">
        <v>1</v>
      </c>
      <c r="I313" s="4" t="s">
        <v>18</v>
      </c>
      <c r="J313" s="4" t="s">
        <v>23</v>
      </c>
      <c r="K313" s="4" t="s">
        <v>36</v>
      </c>
      <c r="L313" s="9">
        <v>45270</v>
      </c>
      <c r="M313" s="9" t="str">
        <f>TEXT(Source_data[[#This Row],[Listing_Date]],"mmm-yy")</f>
        <v>Dec-23</v>
      </c>
      <c r="N313" s="4">
        <f t="shared" si="4"/>
        <v>7457.06</v>
      </c>
      <c r="O313" s="3" cm="1">
        <f t="array" ref="O313">_xlfn.IFS(AND(K313="Broker",J313="Resale"),F313*0.5,AND(K313="Owner",J313="Resale"),F313*0,AND(K313="Builder",J313="Resale"),F313*0.3,AND(J313="New",K313="Broker"),F313*0.1,AND(J313="New",K313="Owner"),F313*0,AND(J313="New",K313="Builder"),F313*0.5)</f>
        <v>0</v>
      </c>
    </row>
    <row r="314" spans="1:15" x14ac:dyDescent="0.3">
      <c r="A314" s="8" t="s">
        <v>355</v>
      </c>
      <c r="B314" s="4" t="s">
        <v>329</v>
      </c>
      <c r="C314" s="4" t="s">
        <v>336</v>
      </c>
      <c r="D314" s="4">
        <v>2</v>
      </c>
      <c r="E314" s="4">
        <v>392</v>
      </c>
      <c r="F314" s="4">
        <v>3750164</v>
      </c>
      <c r="G314" s="4">
        <v>2</v>
      </c>
      <c r="H314" s="4">
        <v>4</v>
      </c>
      <c r="I314" s="4" t="s">
        <v>8</v>
      </c>
      <c r="J314" s="4" t="s">
        <v>19</v>
      </c>
      <c r="K314" s="4" t="s">
        <v>36</v>
      </c>
      <c r="L314" s="9">
        <v>45083</v>
      </c>
      <c r="M314" s="9" t="str">
        <f>TEXT(Source_data[[#This Row],[Listing_Date]],"mmm-yy")</f>
        <v>Jun-23</v>
      </c>
      <c r="N314" s="4">
        <f t="shared" si="4"/>
        <v>9566.7448979591845</v>
      </c>
      <c r="O314" s="3" cm="1">
        <f t="array" ref="O314">_xlfn.IFS(AND(K314="Broker",J314="Resale"),F314*0.5,AND(K314="Owner",J314="Resale"),F314*0,AND(K314="Builder",J314="Resale"),F314*0.3,AND(J314="New",K314="Broker"),F314*0.1,AND(J314="New",K314="Owner"),F314*0,AND(J314="New",K314="Builder"),F314*0.5)</f>
        <v>0</v>
      </c>
    </row>
    <row r="315" spans="1:15" x14ac:dyDescent="0.3">
      <c r="A315" s="8" t="s">
        <v>356</v>
      </c>
      <c r="B315" s="4" t="s">
        <v>329</v>
      </c>
      <c r="C315" s="4" t="s">
        <v>330</v>
      </c>
      <c r="D315" s="4">
        <v>4</v>
      </c>
      <c r="E315" s="4">
        <v>1550</v>
      </c>
      <c r="F315" s="4">
        <v>13031533</v>
      </c>
      <c r="G315" s="4">
        <v>3</v>
      </c>
      <c r="H315" s="4">
        <v>1</v>
      </c>
      <c r="I315" s="4" t="s">
        <v>27</v>
      </c>
      <c r="J315" s="4" t="s">
        <v>23</v>
      </c>
      <c r="K315" s="4" t="s">
        <v>20</v>
      </c>
      <c r="L315" s="9">
        <v>45171</v>
      </c>
      <c r="M315" s="9" t="str">
        <f>TEXT(Source_data[[#This Row],[Listing_Date]],"mmm-yy")</f>
        <v>Sep-23</v>
      </c>
      <c r="N315" s="4">
        <f t="shared" si="4"/>
        <v>8407.4406451612904</v>
      </c>
      <c r="O315" s="3" cm="1">
        <f t="array" ref="O315">_xlfn.IFS(AND(K315="Broker",J315="Resale"),F315*0.5,AND(K315="Owner",J315="Resale"),F315*0,AND(K315="Builder",J315="Resale"),F315*0.3,AND(J315="New",K315="Broker"),F315*0.1,AND(J315="New",K315="Owner"),F315*0,AND(J315="New",K315="Builder"),F315*0.5)</f>
        <v>6515766.5</v>
      </c>
    </row>
    <row r="316" spans="1:15" x14ac:dyDescent="0.3">
      <c r="A316" s="8" t="s">
        <v>357</v>
      </c>
      <c r="B316" s="4" t="s">
        <v>329</v>
      </c>
      <c r="C316" s="4" t="s">
        <v>358</v>
      </c>
      <c r="D316" s="4">
        <v>1</v>
      </c>
      <c r="E316" s="4">
        <v>812</v>
      </c>
      <c r="F316" s="4">
        <v>7430432</v>
      </c>
      <c r="G316" s="4">
        <v>1</v>
      </c>
      <c r="H316" s="4">
        <v>2</v>
      </c>
      <c r="I316" s="4" t="s">
        <v>8</v>
      </c>
      <c r="J316" s="4" t="s">
        <v>19</v>
      </c>
      <c r="K316" s="4" t="s">
        <v>20</v>
      </c>
      <c r="L316" s="9">
        <v>45026</v>
      </c>
      <c r="M316" s="9" t="str">
        <f>TEXT(Source_data[[#This Row],[Listing_Date]],"mmm-yy")</f>
        <v>Apr-23</v>
      </c>
      <c r="N316" s="4">
        <f t="shared" si="4"/>
        <v>9150.7783251231522</v>
      </c>
      <c r="O316" s="3" cm="1">
        <f t="array" ref="O316">_xlfn.IFS(AND(K316="Broker",J316="Resale"),F316*0.5,AND(K316="Owner",J316="Resale"),F316*0,AND(K316="Builder",J316="Resale"),F316*0.3,AND(J316="New",K316="Broker"),F316*0.1,AND(J316="New",K316="Owner"),F316*0,AND(J316="New",K316="Builder"),F316*0.5)</f>
        <v>743043.20000000007</v>
      </c>
    </row>
    <row r="317" spans="1:15" x14ac:dyDescent="0.3">
      <c r="A317" s="8" t="s">
        <v>359</v>
      </c>
      <c r="B317" s="4" t="s">
        <v>329</v>
      </c>
      <c r="C317" s="4" t="s">
        <v>330</v>
      </c>
      <c r="D317" s="4">
        <v>4</v>
      </c>
      <c r="E317" s="4">
        <v>1671</v>
      </c>
      <c r="F317" s="4">
        <v>13076928</v>
      </c>
      <c r="G317" s="4">
        <v>3</v>
      </c>
      <c r="H317" s="4">
        <v>3</v>
      </c>
      <c r="I317" s="4" t="s">
        <v>8</v>
      </c>
      <c r="J317" s="4" t="s">
        <v>23</v>
      </c>
      <c r="K317" s="4" t="s">
        <v>24</v>
      </c>
      <c r="L317" s="9">
        <v>45765</v>
      </c>
      <c r="M317" s="9" t="str">
        <f>TEXT(Source_data[[#This Row],[Listing_Date]],"mmm-yy")</f>
        <v>Apr-25</v>
      </c>
      <c r="N317" s="4">
        <f t="shared" si="4"/>
        <v>7825.8096947935364</v>
      </c>
      <c r="O317" s="3" cm="1">
        <f t="array" ref="O317">_xlfn.IFS(AND(K317="Broker",J317="Resale"),F317*0.5,AND(K317="Owner",J317="Resale"),F317*0,AND(K317="Builder",J317="Resale"),F317*0.3,AND(J317="New",K317="Broker"),F317*0.1,AND(J317="New",K317="Owner"),F317*0,AND(J317="New",K317="Builder"),F317*0.5)</f>
        <v>3923078.4</v>
      </c>
    </row>
    <row r="318" spans="1:15" x14ac:dyDescent="0.3">
      <c r="A318" s="8" t="s">
        <v>360</v>
      </c>
      <c r="B318" s="4" t="s">
        <v>329</v>
      </c>
      <c r="C318" s="4" t="s">
        <v>330</v>
      </c>
      <c r="D318" s="4">
        <v>1</v>
      </c>
      <c r="E318" s="4">
        <v>796</v>
      </c>
      <c r="F318" s="4">
        <v>7404403</v>
      </c>
      <c r="G318" s="4">
        <v>1</v>
      </c>
      <c r="H318" s="4">
        <v>2</v>
      </c>
      <c r="I318" s="4" t="s">
        <v>8</v>
      </c>
      <c r="J318" s="4" t="s">
        <v>23</v>
      </c>
      <c r="K318" s="4" t="s">
        <v>24</v>
      </c>
      <c r="L318" s="9">
        <v>45261</v>
      </c>
      <c r="M318" s="9" t="str">
        <f>TEXT(Source_data[[#This Row],[Listing_Date]],"mmm-yy")</f>
        <v>Dec-23</v>
      </c>
      <c r="N318" s="4">
        <f t="shared" si="4"/>
        <v>9302.0138190954767</v>
      </c>
      <c r="O318" s="3" cm="1">
        <f t="array" ref="O318">_xlfn.IFS(AND(K318="Broker",J318="Resale"),F318*0.5,AND(K318="Owner",J318="Resale"),F318*0,AND(K318="Builder",J318="Resale"),F318*0.3,AND(J318="New",K318="Broker"),F318*0.1,AND(J318="New",K318="Owner"),F318*0,AND(J318="New",K318="Builder"),F318*0.5)</f>
        <v>2221320.9</v>
      </c>
    </row>
    <row r="319" spans="1:15" x14ac:dyDescent="0.3">
      <c r="A319" s="8" t="s">
        <v>361</v>
      </c>
      <c r="B319" s="4" t="s">
        <v>329</v>
      </c>
      <c r="C319" s="4" t="s">
        <v>330</v>
      </c>
      <c r="D319" s="4">
        <v>2</v>
      </c>
      <c r="E319" s="4">
        <v>685</v>
      </c>
      <c r="F319" s="4">
        <v>25254640</v>
      </c>
      <c r="G319" s="4">
        <v>2</v>
      </c>
      <c r="H319" s="4">
        <v>2</v>
      </c>
      <c r="I319" s="4" t="s">
        <v>8</v>
      </c>
      <c r="J319" s="4" t="s">
        <v>19</v>
      </c>
      <c r="K319" s="4" t="s">
        <v>24</v>
      </c>
      <c r="L319" s="9">
        <v>45773</v>
      </c>
      <c r="M319" s="9" t="str">
        <f>TEXT(Source_data[[#This Row],[Listing_Date]],"mmm-yy")</f>
        <v>Apr-25</v>
      </c>
      <c r="N319" s="4">
        <f t="shared" si="4"/>
        <v>36868.087591240874</v>
      </c>
      <c r="O319" s="3" cm="1">
        <f t="array" ref="O319">_xlfn.IFS(AND(K319="Broker",J319="Resale"),F319*0.5,AND(K319="Owner",J319="Resale"),F319*0,AND(K319="Builder",J319="Resale"),F319*0.3,AND(J319="New",K319="Broker"),F319*0.1,AND(J319="New",K319="Owner"),F319*0,AND(J319="New",K319="Builder"),F319*0.5)</f>
        <v>12627320</v>
      </c>
    </row>
    <row r="320" spans="1:15" x14ac:dyDescent="0.3">
      <c r="A320" s="8" t="s">
        <v>362</v>
      </c>
      <c r="B320" s="4" t="s">
        <v>329</v>
      </c>
      <c r="C320" s="4" t="s">
        <v>336</v>
      </c>
      <c r="D320" s="4">
        <v>3</v>
      </c>
      <c r="E320" s="4">
        <v>1542</v>
      </c>
      <c r="F320" s="4">
        <v>10573810</v>
      </c>
      <c r="G320" s="4">
        <v>2</v>
      </c>
      <c r="H320" s="4">
        <v>2</v>
      </c>
      <c r="I320" s="4" t="s">
        <v>8</v>
      </c>
      <c r="J320" s="4" t="s">
        <v>23</v>
      </c>
      <c r="K320" s="4" t="s">
        <v>24</v>
      </c>
      <c r="L320" s="9">
        <v>44955</v>
      </c>
      <c r="M320" s="9" t="str">
        <f>TEXT(Source_data[[#This Row],[Listing_Date]],"mmm-yy")</f>
        <v>Jan-23</v>
      </c>
      <c r="N320" s="4">
        <f t="shared" si="4"/>
        <v>6857.2049286640722</v>
      </c>
      <c r="O320" s="3" cm="1">
        <f t="array" ref="O320">_xlfn.IFS(AND(K320="Broker",J320="Resale"),F320*0.5,AND(K320="Owner",J320="Resale"),F320*0,AND(K320="Builder",J320="Resale"),F320*0.3,AND(J320="New",K320="Broker"),F320*0.1,AND(J320="New",K320="Owner"),F320*0,AND(J320="New",K320="Builder"),F320*0.5)</f>
        <v>3172143</v>
      </c>
    </row>
    <row r="321" spans="1:15" x14ac:dyDescent="0.3">
      <c r="A321" s="8" t="s">
        <v>363</v>
      </c>
      <c r="B321" s="4" t="s">
        <v>329</v>
      </c>
      <c r="C321" s="4" t="s">
        <v>358</v>
      </c>
      <c r="D321" s="4">
        <v>3</v>
      </c>
      <c r="E321" s="4">
        <v>725</v>
      </c>
      <c r="F321" s="4">
        <v>5631363</v>
      </c>
      <c r="G321" s="4">
        <v>3</v>
      </c>
      <c r="H321" s="4">
        <v>1</v>
      </c>
      <c r="I321" s="4" t="s">
        <v>8</v>
      </c>
      <c r="J321" s="4" t="s">
        <v>23</v>
      </c>
      <c r="K321" s="4" t="s">
        <v>36</v>
      </c>
      <c r="L321" s="9">
        <v>45158</v>
      </c>
      <c r="M321" s="9" t="str">
        <f>TEXT(Source_data[[#This Row],[Listing_Date]],"mmm-yy")</f>
        <v>Aug-23</v>
      </c>
      <c r="N321" s="4">
        <f t="shared" si="4"/>
        <v>7767.3972413793108</v>
      </c>
      <c r="O321" s="3" cm="1">
        <f t="array" ref="O321">_xlfn.IFS(AND(K321="Broker",J321="Resale"),F321*0.5,AND(K321="Owner",J321="Resale"),F321*0,AND(K321="Builder",J321="Resale"),F321*0.3,AND(J321="New",K321="Broker"),F321*0.1,AND(J321="New",K321="Owner"),F321*0,AND(J321="New",K321="Builder"),F321*0.5)</f>
        <v>0</v>
      </c>
    </row>
    <row r="322" spans="1:15" x14ac:dyDescent="0.3">
      <c r="A322" s="8" t="s">
        <v>364</v>
      </c>
      <c r="B322" s="4" t="s">
        <v>329</v>
      </c>
      <c r="C322" s="4" t="s">
        <v>332</v>
      </c>
      <c r="D322" s="4">
        <v>4</v>
      </c>
      <c r="E322" s="4">
        <v>2155</v>
      </c>
      <c r="F322" s="4">
        <v>20183604</v>
      </c>
      <c r="G322" s="4">
        <v>4</v>
      </c>
      <c r="H322" s="4">
        <v>3</v>
      </c>
      <c r="I322" s="4" t="s">
        <v>27</v>
      </c>
      <c r="J322" s="4" t="s">
        <v>23</v>
      </c>
      <c r="K322" s="4" t="s">
        <v>24</v>
      </c>
      <c r="L322" s="9">
        <v>45087</v>
      </c>
      <c r="M322" s="9" t="str">
        <f>TEXT(Source_data[[#This Row],[Listing_Date]],"mmm-yy")</f>
        <v>Jun-23</v>
      </c>
      <c r="N322" s="4">
        <f t="shared" si="4"/>
        <v>9365.9415313225054</v>
      </c>
      <c r="O322" s="3" cm="1">
        <f t="array" ref="O322">_xlfn.IFS(AND(K322="Broker",J322="Resale"),F322*0.5,AND(K322="Owner",J322="Resale"),F322*0,AND(K322="Builder",J322="Resale"),F322*0.3,AND(J322="New",K322="Broker"),F322*0.1,AND(J322="New",K322="Owner"),F322*0,AND(J322="New",K322="Builder"),F322*0.5)</f>
        <v>6055081.2000000002</v>
      </c>
    </row>
    <row r="323" spans="1:15" x14ac:dyDescent="0.3">
      <c r="A323" s="8" t="s">
        <v>365</v>
      </c>
      <c r="B323" s="4" t="s">
        <v>329</v>
      </c>
      <c r="C323" s="4" t="s">
        <v>332</v>
      </c>
      <c r="D323" s="4">
        <v>4</v>
      </c>
      <c r="E323" s="4">
        <v>1204</v>
      </c>
      <c r="F323" s="4">
        <v>19289616</v>
      </c>
      <c r="G323" s="4">
        <v>2</v>
      </c>
      <c r="H323" s="4">
        <v>2</v>
      </c>
      <c r="I323" s="4" t="s">
        <v>8</v>
      </c>
      <c r="J323" s="4" t="s">
        <v>23</v>
      </c>
      <c r="K323" s="4" t="s">
        <v>24</v>
      </c>
      <c r="L323" s="9">
        <v>45529</v>
      </c>
      <c r="M323" s="9" t="str">
        <f>TEXT(Source_data[[#This Row],[Listing_Date]],"mmm-yy")</f>
        <v>Aug-24</v>
      </c>
      <c r="N323" s="4">
        <f t="shared" ref="N323:N386" si="5">F323/E323</f>
        <v>16021.275747508305</v>
      </c>
      <c r="O323" s="3" cm="1">
        <f t="array" ref="O323">_xlfn.IFS(AND(K323="Broker",J323="Resale"),F323*0.5,AND(K323="Owner",J323="Resale"),F323*0,AND(K323="Builder",J323="Resale"),F323*0.3,AND(J323="New",K323="Broker"),F323*0.1,AND(J323="New",K323="Owner"),F323*0,AND(J323="New",K323="Builder"),F323*0.5)</f>
        <v>5786884.7999999998</v>
      </c>
    </row>
    <row r="324" spans="1:15" x14ac:dyDescent="0.3">
      <c r="A324" s="8" t="s">
        <v>366</v>
      </c>
      <c r="B324" s="4" t="s">
        <v>329</v>
      </c>
      <c r="C324" s="4" t="s">
        <v>336</v>
      </c>
      <c r="D324" s="4">
        <v>3</v>
      </c>
      <c r="E324" s="4">
        <v>1628</v>
      </c>
      <c r="F324" s="4">
        <v>13813238</v>
      </c>
      <c r="G324" s="4">
        <v>3</v>
      </c>
      <c r="H324" s="4">
        <v>2</v>
      </c>
      <c r="I324" s="4" t="s">
        <v>18</v>
      </c>
      <c r="J324" s="4" t="s">
        <v>23</v>
      </c>
      <c r="K324" s="4" t="s">
        <v>24</v>
      </c>
      <c r="L324" s="9">
        <v>45118</v>
      </c>
      <c r="M324" s="9" t="str">
        <f>TEXT(Source_data[[#This Row],[Listing_Date]],"mmm-yy")</f>
        <v>Jul-23</v>
      </c>
      <c r="N324" s="4">
        <f t="shared" si="5"/>
        <v>8484.7899262899264</v>
      </c>
      <c r="O324" s="3" cm="1">
        <f t="array" ref="O324">_xlfn.IFS(AND(K324="Broker",J324="Resale"),F324*0.5,AND(K324="Owner",J324="Resale"),F324*0,AND(K324="Builder",J324="Resale"),F324*0.3,AND(J324="New",K324="Broker"),F324*0.1,AND(J324="New",K324="Owner"),F324*0,AND(J324="New",K324="Builder"),F324*0.5)</f>
        <v>4143971.4</v>
      </c>
    </row>
    <row r="325" spans="1:15" x14ac:dyDescent="0.3">
      <c r="A325" s="8" t="s">
        <v>367</v>
      </c>
      <c r="B325" s="4" t="s">
        <v>329</v>
      </c>
      <c r="C325" s="4" t="s">
        <v>332</v>
      </c>
      <c r="D325" s="4">
        <v>4</v>
      </c>
      <c r="E325" s="4">
        <v>1056</v>
      </c>
      <c r="F325" s="4">
        <v>10017413</v>
      </c>
      <c r="G325" s="4">
        <v>3</v>
      </c>
      <c r="H325" s="4">
        <v>3</v>
      </c>
      <c r="I325" s="4" t="s">
        <v>18</v>
      </c>
      <c r="J325" s="4" t="s">
        <v>19</v>
      </c>
      <c r="K325" s="4" t="s">
        <v>20</v>
      </c>
      <c r="L325" s="9">
        <v>45550</v>
      </c>
      <c r="M325" s="9" t="str">
        <f>TEXT(Source_data[[#This Row],[Listing_Date]],"mmm-yy")</f>
        <v>Sep-24</v>
      </c>
      <c r="N325" s="4">
        <f t="shared" si="5"/>
        <v>9486.1865530303039</v>
      </c>
      <c r="O325" s="3" cm="1">
        <f t="array" ref="O325">_xlfn.IFS(AND(K325="Broker",J325="Resale"),F325*0.5,AND(K325="Owner",J325="Resale"),F325*0,AND(K325="Builder",J325="Resale"),F325*0.3,AND(J325="New",K325="Broker"),F325*0.1,AND(J325="New",K325="Owner"),F325*0,AND(J325="New",K325="Builder"),F325*0.5)</f>
        <v>1001741.3</v>
      </c>
    </row>
    <row r="326" spans="1:15" x14ac:dyDescent="0.3">
      <c r="A326" s="8" t="s">
        <v>368</v>
      </c>
      <c r="B326" s="4" t="s">
        <v>329</v>
      </c>
      <c r="C326" s="4" t="s">
        <v>358</v>
      </c>
      <c r="D326" s="4">
        <v>4</v>
      </c>
      <c r="E326" s="4">
        <v>1735</v>
      </c>
      <c r="F326" s="4">
        <v>13155908</v>
      </c>
      <c r="G326" s="4">
        <v>3</v>
      </c>
      <c r="H326" s="4">
        <v>2</v>
      </c>
      <c r="I326" s="4" t="s">
        <v>27</v>
      </c>
      <c r="J326" s="4" t="s">
        <v>23</v>
      </c>
      <c r="K326" s="4" t="s">
        <v>36</v>
      </c>
      <c r="L326" s="9">
        <v>45089</v>
      </c>
      <c r="M326" s="9" t="str">
        <f>TEXT(Source_data[[#This Row],[Listing_Date]],"mmm-yy")</f>
        <v>Jun-23</v>
      </c>
      <c r="N326" s="4">
        <f t="shared" si="5"/>
        <v>7582.6559077809798</v>
      </c>
      <c r="O326" s="3" cm="1">
        <f t="array" ref="O326">_xlfn.IFS(AND(K326="Broker",J326="Resale"),F326*0.5,AND(K326="Owner",J326="Resale"),F326*0,AND(K326="Builder",J326="Resale"),F326*0.3,AND(J326="New",K326="Broker"),F326*0.1,AND(J326="New",K326="Owner"),F326*0,AND(J326="New",K326="Builder"),F326*0.5)</f>
        <v>0</v>
      </c>
    </row>
    <row r="327" spans="1:15" x14ac:dyDescent="0.3">
      <c r="A327" s="8" t="s">
        <v>369</v>
      </c>
      <c r="B327" s="4" t="s">
        <v>329</v>
      </c>
      <c r="C327" s="4" t="s">
        <v>358</v>
      </c>
      <c r="D327" s="4">
        <v>1</v>
      </c>
      <c r="E327" s="4">
        <v>684</v>
      </c>
      <c r="F327" s="4">
        <v>5531806</v>
      </c>
      <c r="G327" s="4">
        <v>1</v>
      </c>
      <c r="H327" s="4">
        <v>4</v>
      </c>
      <c r="I327" s="4" t="s">
        <v>18</v>
      </c>
      <c r="J327" s="4" t="s">
        <v>19</v>
      </c>
      <c r="K327" s="4" t="s">
        <v>36</v>
      </c>
      <c r="L327" s="9">
        <v>45841</v>
      </c>
      <c r="M327" s="9" t="str">
        <f>TEXT(Source_data[[#This Row],[Listing_Date]],"mmm-yy")</f>
        <v>Jul-25</v>
      </c>
      <c r="N327" s="4">
        <f t="shared" si="5"/>
        <v>8087.4356725146199</v>
      </c>
      <c r="O327" s="3" cm="1">
        <f t="array" ref="O327">_xlfn.IFS(AND(K327="Broker",J327="Resale"),F327*0.5,AND(K327="Owner",J327="Resale"),F327*0,AND(K327="Builder",J327="Resale"),F327*0.3,AND(J327="New",K327="Broker"),F327*0.1,AND(J327="New",K327="Owner"),F327*0,AND(J327="New",K327="Builder"),F327*0.5)</f>
        <v>0</v>
      </c>
    </row>
    <row r="328" spans="1:15" x14ac:dyDescent="0.3">
      <c r="A328" s="8" t="s">
        <v>370</v>
      </c>
      <c r="B328" s="4" t="s">
        <v>329</v>
      </c>
      <c r="C328" s="4" t="s">
        <v>358</v>
      </c>
      <c r="D328" s="4">
        <v>4</v>
      </c>
      <c r="E328" s="4">
        <v>2002</v>
      </c>
      <c r="F328" s="4">
        <v>17522743</v>
      </c>
      <c r="G328" s="4">
        <v>3</v>
      </c>
      <c r="H328" s="4">
        <v>0</v>
      </c>
      <c r="I328" s="4" t="s">
        <v>8</v>
      </c>
      <c r="J328" s="4" t="s">
        <v>19</v>
      </c>
      <c r="K328" s="4" t="s">
        <v>36</v>
      </c>
      <c r="L328" s="9">
        <v>45404</v>
      </c>
      <c r="M328" s="9" t="str">
        <f>TEXT(Source_data[[#This Row],[Listing_Date]],"mmm-yy")</f>
        <v>Apr-24</v>
      </c>
      <c r="N328" s="4">
        <f t="shared" si="5"/>
        <v>8752.6188811188804</v>
      </c>
      <c r="O328" s="3" cm="1">
        <f t="array" ref="O328">_xlfn.IFS(AND(K328="Broker",J328="Resale"),F328*0.5,AND(K328="Owner",J328="Resale"),F328*0,AND(K328="Builder",J328="Resale"),F328*0.3,AND(J328="New",K328="Broker"),F328*0.1,AND(J328="New",K328="Owner"),F328*0,AND(J328="New",K328="Builder"),F328*0.5)</f>
        <v>0</v>
      </c>
    </row>
    <row r="329" spans="1:15" x14ac:dyDescent="0.3">
      <c r="A329" s="8" t="s">
        <v>371</v>
      </c>
      <c r="B329" s="4" t="s">
        <v>329</v>
      </c>
      <c r="C329" s="4" t="s">
        <v>330</v>
      </c>
      <c r="D329" s="4">
        <v>1</v>
      </c>
      <c r="E329" s="4">
        <v>620</v>
      </c>
      <c r="F329" s="4">
        <v>5438970</v>
      </c>
      <c r="G329" s="4">
        <v>2</v>
      </c>
      <c r="H329" s="4">
        <v>1</v>
      </c>
      <c r="I329" s="4" t="s">
        <v>27</v>
      </c>
      <c r="J329" s="4" t="s">
        <v>19</v>
      </c>
      <c r="K329" s="4" t="s">
        <v>20</v>
      </c>
      <c r="L329" s="9">
        <v>45733</v>
      </c>
      <c r="M329" s="9" t="str">
        <f>TEXT(Source_data[[#This Row],[Listing_Date]],"mmm-yy")</f>
        <v>Mar-25</v>
      </c>
      <c r="N329" s="4">
        <f t="shared" si="5"/>
        <v>8772.532258064517</v>
      </c>
      <c r="O329" s="3" cm="1">
        <f t="array" ref="O329">_xlfn.IFS(AND(K329="Broker",J329="Resale"),F329*0.5,AND(K329="Owner",J329="Resale"),F329*0,AND(K329="Builder",J329="Resale"),F329*0.3,AND(J329="New",K329="Broker"),F329*0.1,AND(J329="New",K329="Owner"),F329*0,AND(J329="New",K329="Builder"),F329*0.5)</f>
        <v>543897</v>
      </c>
    </row>
    <row r="330" spans="1:15" x14ac:dyDescent="0.3">
      <c r="A330" s="8" t="s">
        <v>372</v>
      </c>
      <c r="B330" s="4" t="s">
        <v>329</v>
      </c>
      <c r="C330" s="4" t="s">
        <v>339</v>
      </c>
      <c r="D330" s="4">
        <v>2</v>
      </c>
      <c r="E330" s="4">
        <v>804</v>
      </c>
      <c r="F330" s="4">
        <v>6386226</v>
      </c>
      <c r="G330" s="4">
        <v>2</v>
      </c>
      <c r="H330" s="4">
        <v>1</v>
      </c>
      <c r="I330" s="4" t="s">
        <v>27</v>
      </c>
      <c r="J330" s="4" t="s">
        <v>19</v>
      </c>
      <c r="K330" s="4" t="s">
        <v>36</v>
      </c>
      <c r="L330" s="9">
        <v>45873</v>
      </c>
      <c r="M330" s="9" t="str">
        <f>TEXT(Source_data[[#This Row],[Listing_Date]],"mmm-yy")</f>
        <v>Aug-25</v>
      </c>
      <c r="N330" s="4">
        <f t="shared" si="5"/>
        <v>7943.0671641791041</v>
      </c>
      <c r="O330" s="3" cm="1">
        <f t="array" ref="O330">_xlfn.IFS(AND(K330="Broker",J330="Resale"),F330*0.5,AND(K330="Owner",J330="Resale"),F330*0,AND(K330="Builder",J330="Resale"),F330*0.3,AND(J330="New",K330="Broker"),F330*0.1,AND(J330="New",K330="Owner"),F330*0,AND(J330="New",K330="Builder"),F330*0.5)</f>
        <v>0</v>
      </c>
    </row>
    <row r="331" spans="1:15" x14ac:dyDescent="0.3">
      <c r="A331" s="8" t="s">
        <v>373</v>
      </c>
      <c r="B331" s="4" t="s">
        <v>329</v>
      </c>
      <c r="C331" s="4" t="s">
        <v>358</v>
      </c>
      <c r="D331" s="4">
        <v>3</v>
      </c>
      <c r="E331" s="4">
        <v>810</v>
      </c>
      <c r="F331" s="4">
        <v>6422258</v>
      </c>
      <c r="G331" s="4">
        <v>3</v>
      </c>
      <c r="H331" s="4">
        <v>0</v>
      </c>
      <c r="I331" s="4" t="s">
        <v>18</v>
      </c>
      <c r="J331" s="4" t="s">
        <v>19</v>
      </c>
      <c r="K331" s="4" t="s">
        <v>24</v>
      </c>
      <c r="L331" s="9">
        <v>45252</v>
      </c>
      <c r="M331" s="9" t="str">
        <f>TEXT(Source_data[[#This Row],[Listing_Date]],"mmm-yy")</f>
        <v>Nov-23</v>
      </c>
      <c r="N331" s="4">
        <f t="shared" si="5"/>
        <v>7928.7135802469138</v>
      </c>
      <c r="O331" s="3" cm="1">
        <f t="array" ref="O331">_xlfn.IFS(AND(K331="Broker",J331="Resale"),F331*0.5,AND(K331="Owner",J331="Resale"),F331*0,AND(K331="Builder",J331="Resale"),F331*0.3,AND(J331="New",K331="Broker"),F331*0.1,AND(J331="New",K331="Owner"),F331*0,AND(J331="New",K331="Builder"),F331*0.5)</f>
        <v>3211129</v>
      </c>
    </row>
    <row r="332" spans="1:15" x14ac:dyDescent="0.3">
      <c r="A332" s="8" t="s">
        <v>374</v>
      </c>
      <c r="B332" s="4" t="s">
        <v>329</v>
      </c>
      <c r="C332" s="4" t="s">
        <v>339</v>
      </c>
      <c r="D332" s="4">
        <v>3</v>
      </c>
      <c r="E332" s="4">
        <v>1118</v>
      </c>
      <c r="F332" s="4">
        <v>8758438</v>
      </c>
      <c r="G332" s="4">
        <v>3</v>
      </c>
      <c r="H332" s="4">
        <v>0</v>
      </c>
      <c r="I332" s="4" t="s">
        <v>27</v>
      </c>
      <c r="J332" s="4" t="s">
        <v>23</v>
      </c>
      <c r="K332" s="4" t="s">
        <v>24</v>
      </c>
      <c r="L332" s="9">
        <v>45730</v>
      </c>
      <c r="M332" s="9" t="str">
        <f>TEXT(Source_data[[#This Row],[Listing_Date]],"mmm-yy")</f>
        <v>Mar-25</v>
      </c>
      <c r="N332" s="4">
        <f t="shared" si="5"/>
        <v>7834.0232558139533</v>
      </c>
      <c r="O332" s="3" cm="1">
        <f t="array" ref="O332">_xlfn.IFS(AND(K332="Broker",J332="Resale"),F332*0.5,AND(K332="Owner",J332="Resale"),F332*0,AND(K332="Builder",J332="Resale"),F332*0.3,AND(J332="New",K332="Broker"),F332*0.1,AND(J332="New",K332="Owner"),F332*0,AND(J332="New",K332="Builder"),F332*0.5)</f>
        <v>2627531.4</v>
      </c>
    </row>
    <row r="333" spans="1:15" x14ac:dyDescent="0.3">
      <c r="A333" s="8" t="s">
        <v>375</v>
      </c>
      <c r="B333" s="4" t="s">
        <v>329</v>
      </c>
      <c r="C333" s="4" t="s">
        <v>332</v>
      </c>
      <c r="D333" s="4">
        <v>1</v>
      </c>
      <c r="E333" s="4">
        <v>595</v>
      </c>
      <c r="F333" s="4">
        <v>5536256</v>
      </c>
      <c r="G333" s="4">
        <v>1</v>
      </c>
      <c r="H333" s="4">
        <v>1</v>
      </c>
      <c r="I333" s="4" t="s">
        <v>8</v>
      </c>
      <c r="J333" s="4" t="s">
        <v>23</v>
      </c>
      <c r="K333" s="4" t="s">
        <v>24</v>
      </c>
      <c r="L333" s="9">
        <v>45115</v>
      </c>
      <c r="M333" s="9" t="str">
        <f>TEXT(Source_data[[#This Row],[Listing_Date]],"mmm-yy")</f>
        <v>Jul-23</v>
      </c>
      <c r="N333" s="4">
        <f t="shared" si="5"/>
        <v>9304.6319327731089</v>
      </c>
      <c r="O333" s="3" cm="1">
        <f t="array" ref="O333">_xlfn.IFS(AND(K333="Broker",J333="Resale"),F333*0.5,AND(K333="Owner",J333="Resale"),F333*0,AND(K333="Builder",J333="Resale"),F333*0.3,AND(J333="New",K333="Broker"),F333*0.1,AND(J333="New",K333="Owner"),F333*0,AND(J333="New",K333="Builder"),F333*0.5)</f>
        <v>1660876.8</v>
      </c>
    </row>
    <row r="334" spans="1:15" x14ac:dyDescent="0.3">
      <c r="A334" s="8" t="s">
        <v>376</v>
      </c>
      <c r="B334" s="4" t="s">
        <v>329</v>
      </c>
      <c r="C334" s="4" t="s">
        <v>336</v>
      </c>
      <c r="D334" s="4">
        <v>3</v>
      </c>
      <c r="E334" s="4">
        <v>1483</v>
      </c>
      <c r="F334" s="4">
        <v>13772141</v>
      </c>
      <c r="G334" s="4">
        <v>4</v>
      </c>
      <c r="H334" s="4">
        <v>2</v>
      </c>
      <c r="I334" s="4" t="s">
        <v>8</v>
      </c>
      <c r="J334" s="4" t="s">
        <v>19</v>
      </c>
      <c r="K334" s="4" t="s">
        <v>20</v>
      </c>
      <c r="L334" s="9">
        <v>45488</v>
      </c>
      <c r="M334" s="9" t="str">
        <f>TEXT(Source_data[[#This Row],[Listing_Date]],"mmm-yy")</f>
        <v>Jul-24</v>
      </c>
      <c r="N334" s="4">
        <f t="shared" si="5"/>
        <v>9286.6763317599452</v>
      </c>
      <c r="O334" s="3" cm="1">
        <f t="array" ref="O334">_xlfn.IFS(AND(K334="Broker",J334="Resale"),F334*0.5,AND(K334="Owner",J334="Resale"),F334*0,AND(K334="Builder",J334="Resale"),F334*0.3,AND(J334="New",K334="Broker"),F334*0.1,AND(J334="New",K334="Owner"),F334*0,AND(J334="New",K334="Builder"),F334*0.5)</f>
        <v>1377214.1</v>
      </c>
    </row>
    <row r="335" spans="1:15" x14ac:dyDescent="0.3">
      <c r="A335" s="8" t="s">
        <v>377</v>
      </c>
      <c r="B335" s="4" t="s">
        <v>329</v>
      </c>
      <c r="C335" s="4" t="s">
        <v>351</v>
      </c>
      <c r="D335" s="4">
        <v>3</v>
      </c>
      <c r="E335" s="4">
        <v>1870</v>
      </c>
      <c r="F335" s="4">
        <v>18273721</v>
      </c>
      <c r="G335" s="4">
        <v>4</v>
      </c>
      <c r="H335" s="4">
        <v>1</v>
      </c>
      <c r="I335" s="4" t="s">
        <v>18</v>
      </c>
      <c r="J335" s="4" t="s">
        <v>19</v>
      </c>
      <c r="K335" s="4" t="s">
        <v>36</v>
      </c>
      <c r="L335" s="9">
        <v>45526</v>
      </c>
      <c r="M335" s="9" t="str">
        <f>TEXT(Source_data[[#This Row],[Listing_Date]],"mmm-yy")</f>
        <v>Aug-24</v>
      </c>
      <c r="N335" s="4">
        <f t="shared" si="5"/>
        <v>9772.0433155080209</v>
      </c>
      <c r="O335" s="3" cm="1">
        <f t="array" ref="O335">_xlfn.IFS(AND(K335="Broker",J335="Resale"),F335*0.5,AND(K335="Owner",J335="Resale"),F335*0,AND(K335="Builder",J335="Resale"),F335*0.3,AND(J335="New",K335="Broker"),F335*0.1,AND(J335="New",K335="Owner"),F335*0,AND(J335="New",K335="Builder"),F335*0.5)</f>
        <v>0</v>
      </c>
    </row>
    <row r="336" spans="1:15" x14ac:dyDescent="0.3">
      <c r="A336" s="8" t="s">
        <v>378</v>
      </c>
      <c r="B336" s="4" t="s">
        <v>329</v>
      </c>
      <c r="C336" s="4" t="s">
        <v>332</v>
      </c>
      <c r="D336" s="4">
        <v>2</v>
      </c>
      <c r="E336" s="4">
        <v>974</v>
      </c>
      <c r="F336" s="4">
        <v>8149168</v>
      </c>
      <c r="G336" s="4">
        <v>3</v>
      </c>
      <c r="H336" s="4">
        <v>2</v>
      </c>
      <c r="I336" s="4" t="s">
        <v>18</v>
      </c>
      <c r="J336" s="4" t="s">
        <v>19</v>
      </c>
      <c r="K336" s="4" t="s">
        <v>20</v>
      </c>
      <c r="L336" s="9">
        <v>45116</v>
      </c>
      <c r="M336" s="9" t="str">
        <f>TEXT(Source_data[[#This Row],[Listing_Date]],"mmm-yy")</f>
        <v>Jul-23</v>
      </c>
      <c r="N336" s="4">
        <f t="shared" si="5"/>
        <v>8366.7022587269003</v>
      </c>
      <c r="O336" s="3" cm="1">
        <f t="array" ref="O336">_xlfn.IFS(AND(K336="Broker",J336="Resale"),F336*0.5,AND(K336="Owner",J336="Resale"),F336*0,AND(K336="Builder",J336="Resale"),F336*0.3,AND(J336="New",K336="Broker"),F336*0.1,AND(J336="New",K336="Owner"),F336*0,AND(J336="New",K336="Builder"),F336*0.5)</f>
        <v>814916.8</v>
      </c>
    </row>
    <row r="337" spans="1:15" x14ac:dyDescent="0.3">
      <c r="A337" s="8" t="s">
        <v>379</v>
      </c>
      <c r="B337" s="4" t="s">
        <v>329</v>
      </c>
      <c r="C337" s="4" t="s">
        <v>330</v>
      </c>
      <c r="D337" s="4">
        <v>3</v>
      </c>
      <c r="E337" s="4">
        <v>1624</v>
      </c>
      <c r="F337" s="4">
        <v>14868735</v>
      </c>
      <c r="G337" s="4">
        <v>3</v>
      </c>
      <c r="H337" s="4">
        <v>3</v>
      </c>
      <c r="I337" s="4" t="s">
        <v>18</v>
      </c>
      <c r="J337" s="4" t="s">
        <v>23</v>
      </c>
      <c r="K337" s="4" t="s">
        <v>24</v>
      </c>
      <c r="L337" s="9">
        <v>45005</v>
      </c>
      <c r="M337" s="9" t="str">
        <f>TEXT(Source_data[[#This Row],[Listing_Date]],"mmm-yy")</f>
        <v>Mar-23</v>
      </c>
      <c r="N337" s="4">
        <f t="shared" si="5"/>
        <v>9155.625</v>
      </c>
      <c r="O337" s="3" cm="1">
        <f t="array" ref="O337">_xlfn.IFS(AND(K337="Broker",J337="Resale"),F337*0.5,AND(K337="Owner",J337="Resale"),F337*0,AND(K337="Builder",J337="Resale"),F337*0.3,AND(J337="New",K337="Broker"),F337*0.1,AND(J337="New",K337="Owner"),F337*0,AND(J337="New",K337="Builder"),F337*0.5)</f>
        <v>4460620.5</v>
      </c>
    </row>
    <row r="338" spans="1:15" x14ac:dyDescent="0.3">
      <c r="A338" s="8" t="s">
        <v>380</v>
      </c>
      <c r="B338" s="4" t="s">
        <v>329</v>
      </c>
      <c r="C338" s="4" t="s">
        <v>332</v>
      </c>
      <c r="D338" s="4">
        <v>4</v>
      </c>
      <c r="E338" s="4">
        <v>1430</v>
      </c>
      <c r="F338" s="4">
        <v>12020705</v>
      </c>
      <c r="G338" s="4">
        <v>2</v>
      </c>
      <c r="H338" s="4">
        <v>2</v>
      </c>
      <c r="I338" s="4" t="s">
        <v>27</v>
      </c>
      <c r="J338" s="4" t="s">
        <v>19</v>
      </c>
      <c r="K338" s="4" t="s">
        <v>24</v>
      </c>
      <c r="L338" s="9">
        <v>45662</v>
      </c>
      <c r="M338" s="9" t="str">
        <f>TEXT(Source_data[[#This Row],[Listing_Date]],"mmm-yy")</f>
        <v>Jan-25</v>
      </c>
      <c r="N338" s="4">
        <f t="shared" si="5"/>
        <v>8406.0874125874125</v>
      </c>
      <c r="O338" s="3" cm="1">
        <f t="array" ref="O338">_xlfn.IFS(AND(K338="Broker",J338="Resale"),F338*0.5,AND(K338="Owner",J338="Resale"),F338*0,AND(K338="Builder",J338="Resale"),F338*0.3,AND(J338="New",K338="Broker"),F338*0.1,AND(J338="New",K338="Owner"),F338*0,AND(J338="New",K338="Builder"),F338*0.5)</f>
        <v>6010352.5</v>
      </c>
    </row>
    <row r="339" spans="1:15" x14ac:dyDescent="0.3">
      <c r="A339" s="8" t="s">
        <v>381</v>
      </c>
      <c r="B339" s="4" t="s">
        <v>329</v>
      </c>
      <c r="C339" s="4" t="s">
        <v>332</v>
      </c>
      <c r="D339" s="4">
        <v>1</v>
      </c>
      <c r="E339" s="4">
        <v>455</v>
      </c>
      <c r="F339" s="4">
        <v>4085489</v>
      </c>
      <c r="G339" s="4">
        <v>1</v>
      </c>
      <c r="H339" s="4">
        <v>0</v>
      </c>
      <c r="I339" s="4" t="s">
        <v>27</v>
      </c>
      <c r="J339" s="4" t="s">
        <v>19</v>
      </c>
      <c r="K339" s="4" t="s">
        <v>24</v>
      </c>
      <c r="L339" s="9">
        <v>45396</v>
      </c>
      <c r="M339" s="9" t="str">
        <f>TEXT(Source_data[[#This Row],[Listing_Date]],"mmm-yy")</f>
        <v>Apr-24</v>
      </c>
      <c r="N339" s="4">
        <f t="shared" si="5"/>
        <v>8979.0967032967037</v>
      </c>
      <c r="O339" s="3" cm="1">
        <f t="array" ref="O339">_xlfn.IFS(AND(K339="Broker",J339="Resale"),F339*0.5,AND(K339="Owner",J339="Resale"),F339*0,AND(K339="Builder",J339="Resale"),F339*0.3,AND(J339="New",K339="Broker"),F339*0.1,AND(J339="New",K339="Owner"),F339*0,AND(J339="New",K339="Builder"),F339*0.5)</f>
        <v>2042744.5</v>
      </c>
    </row>
    <row r="340" spans="1:15" x14ac:dyDescent="0.3">
      <c r="A340" s="8" t="s">
        <v>382</v>
      </c>
      <c r="B340" s="4" t="s">
        <v>329</v>
      </c>
      <c r="C340" s="4" t="s">
        <v>358</v>
      </c>
      <c r="D340" s="4">
        <v>2</v>
      </c>
      <c r="E340" s="4">
        <v>1076</v>
      </c>
      <c r="F340" s="4">
        <v>9780494</v>
      </c>
      <c r="G340" s="4">
        <v>2</v>
      </c>
      <c r="H340" s="4">
        <v>0</v>
      </c>
      <c r="I340" s="4" t="s">
        <v>8</v>
      </c>
      <c r="J340" s="4" t="s">
        <v>23</v>
      </c>
      <c r="K340" s="4" t="s">
        <v>36</v>
      </c>
      <c r="L340" s="9">
        <v>45778</v>
      </c>
      <c r="M340" s="9" t="str">
        <f>TEXT(Source_data[[#This Row],[Listing_Date]],"mmm-yy")</f>
        <v>May-25</v>
      </c>
      <c r="N340" s="4">
        <f t="shared" si="5"/>
        <v>9089.6784386617092</v>
      </c>
      <c r="O340" s="3" cm="1">
        <f t="array" ref="O340">_xlfn.IFS(AND(K340="Broker",J340="Resale"),F340*0.5,AND(K340="Owner",J340="Resale"),F340*0,AND(K340="Builder",J340="Resale"),F340*0.3,AND(J340="New",K340="Broker"),F340*0.1,AND(J340="New",K340="Owner"),F340*0,AND(J340="New",K340="Builder"),F340*0.5)</f>
        <v>0</v>
      </c>
    </row>
    <row r="341" spans="1:15" x14ac:dyDescent="0.3">
      <c r="A341" s="8" t="s">
        <v>383</v>
      </c>
      <c r="B341" s="4" t="s">
        <v>329</v>
      </c>
      <c r="C341" s="4" t="s">
        <v>332</v>
      </c>
      <c r="D341" s="4">
        <v>3</v>
      </c>
      <c r="E341" s="4">
        <v>1092</v>
      </c>
      <c r="F341" s="4">
        <v>9774755</v>
      </c>
      <c r="G341" s="4">
        <v>2</v>
      </c>
      <c r="H341" s="4">
        <v>1</v>
      </c>
      <c r="I341" s="4" t="s">
        <v>18</v>
      </c>
      <c r="J341" s="4" t="s">
        <v>23</v>
      </c>
      <c r="K341" s="4" t="s">
        <v>24</v>
      </c>
      <c r="L341" s="9">
        <v>45734</v>
      </c>
      <c r="M341" s="9" t="str">
        <f>TEXT(Source_data[[#This Row],[Listing_Date]],"mmm-yy")</f>
        <v>Mar-25</v>
      </c>
      <c r="N341" s="4">
        <f t="shared" si="5"/>
        <v>8951.2408424908426</v>
      </c>
      <c r="O341" s="3" cm="1">
        <f t="array" ref="O341">_xlfn.IFS(AND(K341="Broker",J341="Resale"),F341*0.5,AND(K341="Owner",J341="Resale"),F341*0,AND(K341="Builder",J341="Resale"),F341*0.3,AND(J341="New",K341="Broker"),F341*0.1,AND(J341="New",K341="Owner"),F341*0,AND(J341="New",K341="Builder"),F341*0.5)</f>
        <v>2932426.5</v>
      </c>
    </row>
    <row r="342" spans="1:15" x14ac:dyDescent="0.3">
      <c r="A342" s="8" t="s">
        <v>384</v>
      </c>
      <c r="B342" s="4" t="s">
        <v>329</v>
      </c>
      <c r="C342" s="4" t="s">
        <v>332</v>
      </c>
      <c r="D342" s="4">
        <v>3</v>
      </c>
      <c r="E342" s="4">
        <v>1422</v>
      </c>
      <c r="F342" s="4">
        <v>9630995</v>
      </c>
      <c r="G342" s="4">
        <v>3</v>
      </c>
      <c r="H342" s="4">
        <v>0</v>
      </c>
      <c r="I342" s="4" t="s">
        <v>18</v>
      </c>
      <c r="J342" s="4" t="s">
        <v>23</v>
      </c>
      <c r="K342" s="4" t="s">
        <v>20</v>
      </c>
      <c r="L342" s="9">
        <v>45333</v>
      </c>
      <c r="M342" s="9" t="str">
        <f>TEXT(Source_data[[#This Row],[Listing_Date]],"mmm-yy")</f>
        <v>Feb-24</v>
      </c>
      <c r="N342" s="4">
        <f t="shared" si="5"/>
        <v>6772.8516174402248</v>
      </c>
      <c r="O342" s="3" cm="1">
        <f t="array" ref="O342">_xlfn.IFS(AND(K342="Broker",J342="Resale"),F342*0.5,AND(K342="Owner",J342="Resale"),F342*0,AND(K342="Builder",J342="Resale"),F342*0.3,AND(J342="New",K342="Broker"),F342*0.1,AND(J342="New",K342="Owner"),F342*0,AND(J342="New",K342="Builder"),F342*0.5)</f>
        <v>4815497.5</v>
      </c>
    </row>
    <row r="343" spans="1:15" x14ac:dyDescent="0.3">
      <c r="A343" s="8" t="s">
        <v>385</v>
      </c>
      <c r="B343" s="4" t="s">
        <v>329</v>
      </c>
      <c r="C343" s="4" t="s">
        <v>339</v>
      </c>
      <c r="D343" s="4">
        <v>3</v>
      </c>
      <c r="E343" s="4">
        <v>1269</v>
      </c>
      <c r="F343" s="4">
        <v>12840636</v>
      </c>
      <c r="G343" s="4">
        <v>3</v>
      </c>
      <c r="H343" s="4">
        <v>1</v>
      </c>
      <c r="I343" s="4" t="s">
        <v>18</v>
      </c>
      <c r="J343" s="4" t="s">
        <v>23</v>
      </c>
      <c r="K343" s="4" t="s">
        <v>20</v>
      </c>
      <c r="L343" s="9">
        <v>45478</v>
      </c>
      <c r="M343" s="9" t="str">
        <f>TEXT(Source_data[[#This Row],[Listing_Date]],"mmm-yy")</f>
        <v>Jul-24</v>
      </c>
      <c r="N343" s="4">
        <f t="shared" si="5"/>
        <v>10118.704491725768</v>
      </c>
      <c r="O343" s="3" cm="1">
        <f t="array" ref="O343">_xlfn.IFS(AND(K343="Broker",J343="Resale"),F343*0.5,AND(K343="Owner",J343="Resale"),F343*0,AND(K343="Builder",J343="Resale"),F343*0.3,AND(J343="New",K343="Broker"),F343*0.1,AND(J343="New",K343="Owner"),F343*0,AND(J343="New",K343="Builder"),F343*0.5)</f>
        <v>6420318</v>
      </c>
    </row>
    <row r="344" spans="1:15" x14ac:dyDescent="0.3">
      <c r="A344" s="8" t="s">
        <v>386</v>
      </c>
      <c r="B344" s="4" t="s">
        <v>329</v>
      </c>
      <c r="C344" s="4" t="s">
        <v>351</v>
      </c>
      <c r="D344" s="4">
        <v>1</v>
      </c>
      <c r="E344" s="4">
        <v>534</v>
      </c>
      <c r="F344" s="4">
        <v>5401863</v>
      </c>
      <c r="G344" s="4">
        <v>1</v>
      </c>
      <c r="H344" s="4">
        <v>2</v>
      </c>
      <c r="I344" s="4" t="s">
        <v>67</v>
      </c>
      <c r="J344" s="4" t="s">
        <v>23</v>
      </c>
      <c r="K344" s="4" t="s">
        <v>20</v>
      </c>
      <c r="L344" s="9">
        <v>45423</v>
      </c>
      <c r="M344" s="9" t="str">
        <f>TEXT(Source_data[[#This Row],[Listing_Date]],"mmm-yy")</f>
        <v>May-24</v>
      </c>
      <c r="N344" s="4">
        <f t="shared" si="5"/>
        <v>10115.848314606741</v>
      </c>
      <c r="O344" s="3" cm="1">
        <f t="array" ref="O344">_xlfn.IFS(AND(K344="Broker",J344="Resale"),F344*0.5,AND(K344="Owner",J344="Resale"),F344*0,AND(K344="Builder",J344="Resale"),F344*0.3,AND(J344="New",K344="Broker"),F344*0.1,AND(J344="New",K344="Owner"),F344*0,AND(J344="New",K344="Builder"),F344*0.5)</f>
        <v>2700931.5</v>
      </c>
    </row>
    <row r="345" spans="1:15" x14ac:dyDescent="0.3">
      <c r="A345" s="8" t="s">
        <v>387</v>
      </c>
      <c r="B345" s="4" t="s">
        <v>329</v>
      </c>
      <c r="C345" s="4" t="s">
        <v>332</v>
      </c>
      <c r="D345" s="4">
        <v>5</v>
      </c>
      <c r="E345" s="4">
        <v>2675</v>
      </c>
      <c r="F345" s="4">
        <v>18742217</v>
      </c>
      <c r="G345" s="4">
        <v>3</v>
      </c>
      <c r="H345" s="4">
        <v>2</v>
      </c>
      <c r="I345" s="4" t="s">
        <v>8</v>
      </c>
      <c r="J345" s="4" t="s">
        <v>19</v>
      </c>
      <c r="K345" s="4" t="s">
        <v>20</v>
      </c>
      <c r="L345" s="9">
        <v>45373</v>
      </c>
      <c r="M345" s="9" t="str">
        <f>TEXT(Source_data[[#This Row],[Listing_Date]],"mmm-yy")</f>
        <v>Mar-24</v>
      </c>
      <c r="N345" s="4">
        <f t="shared" si="5"/>
        <v>7006.4362616822427</v>
      </c>
      <c r="O345" s="3" cm="1">
        <f t="array" ref="O345">_xlfn.IFS(AND(K345="Broker",J345="Resale"),F345*0.5,AND(K345="Owner",J345="Resale"),F345*0,AND(K345="Builder",J345="Resale"),F345*0.3,AND(J345="New",K345="Broker"),F345*0.1,AND(J345="New",K345="Owner"),F345*0,AND(J345="New",K345="Builder"),F345*0.5)</f>
        <v>1874221.7000000002</v>
      </c>
    </row>
    <row r="346" spans="1:15" x14ac:dyDescent="0.3">
      <c r="A346" s="8" t="s">
        <v>388</v>
      </c>
      <c r="B346" s="4" t="s">
        <v>329</v>
      </c>
      <c r="C346" s="4" t="s">
        <v>332</v>
      </c>
      <c r="D346" s="4">
        <v>1</v>
      </c>
      <c r="E346" s="4">
        <v>759</v>
      </c>
      <c r="F346" s="4">
        <v>6370326</v>
      </c>
      <c r="G346" s="4">
        <v>2</v>
      </c>
      <c r="H346" s="4">
        <v>3</v>
      </c>
      <c r="I346" s="4" t="s">
        <v>8</v>
      </c>
      <c r="J346" s="4" t="s">
        <v>19</v>
      </c>
      <c r="K346" s="4" t="s">
        <v>24</v>
      </c>
      <c r="L346" s="9">
        <v>45613</v>
      </c>
      <c r="M346" s="9" t="str">
        <f>TEXT(Source_data[[#This Row],[Listing_Date]],"mmm-yy")</f>
        <v>Nov-24</v>
      </c>
      <c r="N346" s="4">
        <f t="shared" si="5"/>
        <v>8393.05138339921</v>
      </c>
      <c r="O346" s="3" cm="1">
        <f t="array" ref="O346">_xlfn.IFS(AND(K346="Broker",J346="Resale"),F346*0.5,AND(K346="Owner",J346="Resale"),F346*0,AND(K346="Builder",J346="Resale"),F346*0.3,AND(J346="New",K346="Broker"),F346*0.1,AND(J346="New",K346="Owner"),F346*0,AND(J346="New",K346="Builder"),F346*0.5)</f>
        <v>3185163</v>
      </c>
    </row>
    <row r="347" spans="1:15" x14ac:dyDescent="0.3">
      <c r="A347" s="8" t="s">
        <v>389</v>
      </c>
      <c r="B347" s="4" t="s">
        <v>329</v>
      </c>
      <c r="C347" s="4" t="s">
        <v>330</v>
      </c>
      <c r="D347" s="4">
        <v>2</v>
      </c>
      <c r="E347" s="4">
        <v>1081</v>
      </c>
      <c r="F347" s="4">
        <v>9648673</v>
      </c>
      <c r="G347" s="4">
        <v>2</v>
      </c>
      <c r="H347" s="4">
        <v>1</v>
      </c>
      <c r="I347" s="4" t="s">
        <v>27</v>
      </c>
      <c r="J347" s="4" t="s">
        <v>23</v>
      </c>
      <c r="K347" s="4" t="s">
        <v>24</v>
      </c>
      <c r="L347" s="9">
        <v>45041</v>
      </c>
      <c r="M347" s="9" t="str">
        <f>TEXT(Source_data[[#This Row],[Listing_Date]],"mmm-yy")</f>
        <v>Apr-23</v>
      </c>
      <c r="N347" s="4">
        <f t="shared" si="5"/>
        <v>8925.6919518963914</v>
      </c>
      <c r="O347" s="3" cm="1">
        <f t="array" ref="O347">_xlfn.IFS(AND(K347="Broker",J347="Resale"),F347*0.5,AND(K347="Owner",J347="Resale"),F347*0,AND(K347="Builder",J347="Resale"),F347*0.3,AND(J347="New",K347="Broker"),F347*0.1,AND(J347="New",K347="Owner"),F347*0,AND(J347="New",K347="Builder"),F347*0.5)</f>
        <v>2894601.9</v>
      </c>
    </row>
    <row r="348" spans="1:15" x14ac:dyDescent="0.3">
      <c r="A348" s="8" t="s">
        <v>390</v>
      </c>
      <c r="B348" s="4" t="s">
        <v>329</v>
      </c>
      <c r="C348" s="4" t="s">
        <v>336</v>
      </c>
      <c r="D348" s="4">
        <v>3</v>
      </c>
      <c r="E348" s="4">
        <v>1371</v>
      </c>
      <c r="F348" s="4">
        <v>11324204</v>
      </c>
      <c r="G348" s="4">
        <v>3</v>
      </c>
      <c r="H348" s="4">
        <v>1</v>
      </c>
      <c r="I348" s="4" t="s">
        <v>18</v>
      </c>
      <c r="J348" s="4" t="s">
        <v>19</v>
      </c>
      <c r="K348" s="4" t="s">
        <v>36</v>
      </c>
      <c r="L348" s="9">
        <v>45019</v>
      </c>
      <c r="M348" s="9" t="str">
        <f>TEXT(Source_data[[#This Row],[Listing_Date]],"mmm-yy")</f>
        <v>Apr-23</v>
      </c>
      <c r="N348" s="4">
        <f t="shared" si="5"/>
        <v>8259.8132749817651</v>
      </c>
      <c r="O348" s="3" cm="1">
        <f t="array" ref="O348">_xlfn.IFS(AND(K348="Broker",J348="Resale"),F348*0.5,AND(K348="Owner",J348="Resale"),F348*0,AND(K348="Builder",J348="Resale"),F348*0.3,AND(J348="New",K348="Broker"),F348*0.1,AND(J348="New",K348="Owner"),F348*0,AND(J348="New",K348="Builder"),F348*0.5)</f>
        <v>0</v>
      </c>
    </row>
    <row r="349" spans="1:15" x14ac:dyDescent="0.3">
      <c r="A349" s="8" t="s">
        <v>391</v>
      </c>
      <c r="B349" s="4" t="s">
        <v>329</v>
      </c>
      <c r="C349" s="4" t="s">
        <v>351</v>
      </c>
      <c r="D349" s="4">
        <v>3</v>
      </c>
      <c r="E349" s="4">
        <v>579</v>
      </c>
      <c r="F349" s="4">
        <v>3881345</v>
      </c>
      <c r="G349" s="4">
        <v>4</v>
      </c>
      <c r="H349" s="4">
        <v>3</v>
      </c>
      <c r="I349" s="4" t="s">
        <v>8</v>
      </c>
      <c r="J349" s="4" t="s">
        <v>23</v>
      </c>
      <c r="K349" s="4" t="s">
        <v>36</v>
      </c>
      <c r="L349" s="9">
        <v>45739</v>
      </c>
      <c r="M349" s="9" t="str">
        <f>TEXT(Source_data[[#This Row],[Listing_Date]],"mmm-yy")</f>
        <v>Mar-25</v>
      </c>
      <c r="N349" s="4">
        <f t="shared" si="5"/>
        <v>6703.5319516407599</v>
      </c>
      <c r="O349" s="3" cm="1">
        <f t="array" ref="O349">_xlfn.IFS(AND(K349="Broker",J349="Resale"),F349*0.5,AND(K349="Owner",J349="Resale"),F349*0,AND(K349="Builder",J349="Resale"),F349*0.3,AND(J349="New",K349="Broker"),F349*0.1,AND(J349="New",K349="Owner"),F349*0,AND(J349="New",K349="Builder"),F349*0.5)</f>
        <v>0</v>
      </c>
    </row>
    <row r="350" spans="1:15" x14ac:dyDescent="0.3">
      <c r="A350" s="8" t="s">
        <v>392</v>
      </c>
      <c r="B350" s="4" t="s">
        <v>329</v>
      </c>
      <c r="C350" s="4" t="s">
        <v>351</v>
      </c>
      <c r="D350" s="4">
        <v>3</v>
      </c>
      <c r="E350" s="4">
        <v>1748</v>
      </c>
      <c r="F350" s="4">
        <v>17577687</v>
      </c>
      <c r="G350" s="4">
        <v>3</v>
      </c>
      <c r="H350" s="4">
        <v>3</v>
      </c>
      <c r="I350" s="4" t="s">
        <v>27</v>
      </c>
      <c r="J350" s="4" t="s">
        <v>19</v>
      </c>
      <c r="K350" s="4" t="s">
        <v>20</v>
      </c>
      <c r="L350" s="9">
        <v>45604</v>
      </c>
      <c r="M350" s="9" t="str">
        <f>TEXT(Source_data[[#This Row],[Listing_Date]],"mmm-yy")</f>
        <v>Nov-24</v>
      </c>
      <c r="N350" s="4">
        <f t="shared" si="5"/>
        <v>10055.885011441647</v>
      </c>
      <c r="O350" s="3" cm="1">
        <f t="array" ref="O350">_xlfn.IFS(AND(K350="Broker",J350="Resale"),F350*0.5,AND(K350="Owner",J350="Resale"),F350*0,AND(K350="Builder",J350="Resale"),F350*0.3,AND(J350="New",K350="Broker"),F350*0.1,AND(J350="New",K350="Owner"),F350*0,AND(J350="New",K350="Builder"),F350*0.5)</f>
        <v>1757768.7000000002</v>
      </c>
    </row>
    <row r="351" spans="1:15" x14ac:dyDescent="0.3">
      <c r="A351" s="8" t="s">
        <v>393</v>
      </c>
      <c r="B351" s="4" t="s">
        <v>329</v>
      </c>
      <c r="C351" s="4" t="s">
        <v>339</v>
      </c>
      <c r="D351" s="4">
        <v>1</v>
      </c>
      <c r="E351" s="4">
        <v>647</v>
      </c>
      <c r="F351" s="4">
        <v>4848053</v>
      </c>
      <c r="G351" s="4">
        <v>1</v>
      </c>
      <c r="H351" s="4">
        <v>2</v>
      </c>
      <c r="I351" s="4" t="s">
        <v>18</v>
      </c>
      <c r="J351" s="4" t="s">
        <v>23</v>
      </c>
      <c r="K351" s="4" t="s">
        <v>36</v>
      </c>
      <c r="L351" s="9">
        <v>45570</v>
      </c>
      <c r="M351" s="9" t="str">
        <f>TEXT(Source_data[[#This Row],[Listing_Date]],"mmm-yy")</f>
        <v>Oct-24</v>
      </c>
      <c r="N351" s="4">
        <f t="shared" si="5"/>
        <v>7493.1267387944363</v>
      </c>
      <c r="O351" s="3" cm="1">
        <f t="array" ref="O351">_xlfn.IFS(AND(K351="Broker",J351="Resale"),F351*0.5,AND(K351="Owner",J351="Resale"),F351*0,AND(K351="Builder",J351="Resale"),F351*0.3,AND(J351="New",K351="Broker"),F351*0.1,AND(J351="New",K351="Owner"),F351*0,AND(J351="New",K351="Builder"),F351*0.5)</f>
        <v>0</v>
      </c>
    </row>
    <row r="352" spans="1:15" x14ac:dyDescent="0.3">
      <c r="A352" s="8" t="s">
        <v>394</v>
      </c>
      <c r="B352" s="4" t="s">
        <v>329</v>
      </c>
      <c r="C352" s="4" t="s">
        <v>339</v>
      </c>
      <c r="D352" s="4">
        <v>2</v>
      </c>
      <c r="E352" s="4">
        <v>947</v>
      </c>
      <c r="F352" s="4">
        <v>8052559</v>
      </c>
      <c r="G352" s="4">
        <v>2</v>
      </c>
      <c r="H352" s="4">
        <v>0</v>
      </c>
      <c r="I352" s="4" t="s">
        <v>8</v>
      </c>
      <c r="J352" s="4" t="s">
        <v>19</v>
      </c>
      <c r="K352" s="4" t="s">
        <v>24</v>
      </c>
      <c r="L352" s="9">
        <v>45181</v>
      </c>
      <c r="M352" s="9" t="str">
        <f>TEXT(Source_data[[#This Row],[Listing_Date]],"mmm-yy")</f>
        <v>Sep-23</v>
      </c>
      <c r="N352" s="4">
        <f t="shared" si="5"/>
        <v>8503.2302006335794</v>
      </c>
      <c r="O352" s="3" cm="1">
        <f t="array" ref="O352">_xlfn.IFS(AND(K352="Broker",J352="Resale"),F352*0.5,AND(K352="Owner",J352="Resale"),F352*0,AND(K352="Builder",J352="Resale"),F352*0.3,AND(J352="New",K352="Broker"),F352*0.1,AND(J352="New",K352="Owner"),F352*0,AND(J352="New",K352="Builder"),F352*0.5)</f>
        <v>4026279.5</v>
      </c>
    </row>
    <row r="353" spans="1:15" x14ac:dyDescent="0.3">
      <c r="A353" s="8" t="s">
        <v>395</v>
      </c>
      <c r="B353" s="4" t="s">
        <v>329</v>
      </c>
      <c r="C353" s="4" t="s">
        <v>330</v>
      </c>
      <c r="D353" s="4">
        <v>3</v>
      </c>
      <c r="E353" s="4">
        <v>1174</v>
      </c>
      <c r="F353" s="4">
        <v>11200475</v>
      </c>
      <c r="G353" s="4">
        <v>3</v>
      </c>
      <c r="H353" s="4">
        <v>3</v>
      </c>
      <c r="I353" s="4" t="s">
        <v>8</v>
      </c>
      <c r="J353" s="4" t="s">
        <v>19</v>
      </c>
      <c r="K353" s="4" t="s">
        <v>36</v>
      </c>
      <c r="L353" s="9">
        <v>45737</v>
      </c>
      <c r="M353" s="9" t="str">
        <f>TEXT(Source_data[[#This Row],[Listing_Date]],"mmm-yy")</f>
        <v>Mar-25</v>
      </c>
      <c r="N353" s="4">
        <f t="shared" si="5"/>
        <v>9540.4386712095402</v>
      </c>
      <c r="O353" s="3" cm="1">
        <f t="array" ref="O353">_xlfn.IFS(AND(K353="Broker",J353="Resale"),F353*0.5,AND(K353="Owner",J353="Resale"),F353*0,AND(K353="Builder",J353="Resale"),F353*0.3,AND(J353="New",K353="Broker"),F353*0.1,AND(J353="New",K353="Owner"),F353*0,AND(J353="New",K353="Builder"),F353*0.5)</f>
        <v>0</v>
      </c>
    </row>
    <row r="354" spans="1:15" x14ac:dyDescent="0.3">
      <c r="A354" s="8" t="s">
        <v>396</v>
      </c>
      <c r="B354" s="4" t="s">
        <v>329</v>
      </c>
      <c r="C354" s="4" t="s">
        <v>336</v>
      </c>
      <c r="D354" s="4">
        <v>2</v>
      </c>
      <c r="E354" s="4">
        <v>388</v>
      </c>
      <c r="F354" s="4">
        <v>2978048</v>
      </c>
      <c r="G354" s="4">
        <v>2</v>
      </c>
      <c r="H354" s="4">
        <v>4</v>
      </c>
      <c r="I354" s="4" t="s">
        <v>8</v>
      </c>
      <c r="J354" s="4" t="s">
        <v>19</v>
      </c>
      <c r="K354" s="4" t="s">
        <v>20</v>
      </c>
      <c r="L354" s="9">
        <v>45833</v>
      </c>
      <c r="M354" s="9" t="str">
        <f>TEXT(Source_data[[#This Row],[Listing_Date]],"mmm-yy")</f>
        <v>Jun-25</v>
      </c>
      <c r="N354" s="4">
        <f t="shared" si="5"/>
        <v>7675.3814432989693</v>
      </c>
      <c r="O354" s="3" cm="1">
        <f t="array" ref="O354">_xlfn.IFS(AND(K354="Broker",J354="Resale"),F354*0.5,AND(K354="Owner",J354="Resale"),F354*0,AND(K354="Builder",J354="Resale"),F354*0.3,AND(J354="New",K354="Broker"),F354*0.1,AND(J354="New",K354="Owner"),F354*0,AND(J354="New",K354="Builder"),F354*0.5)</f>
        <v>297804.79999999999</v>
      </c>
    </row>
    <row r="355" spans="1:15" x14ac:dyDescent="0.3">
      <c r="A355" s="8" t="s">
        <v>397</v>
      </c>
      <c r="B355" s="4" t="s">
        <v>329</v>
      </c>
      <c r="C355" s="4" t="s">
        <v>332</v>
      </c>
      <c r="D355" s="4">
        <v>4</v>
      </c>
      <c r="E355" s="4">
        <v>1828</v>
      </c>
      <c r="F355" s="4">
        <v>10033366</v>
      </c>
      <c r="G355" s="4">
        <v>3</v>
      </c>
      <c r="H355" s="4">
        <v>0</v>
      </c>
      <c r="I355" s="4" t="s">
        <v>27</v>
      </c>
      <c r="J355" s="4" t="s">
        <v>19</v>
      </c>
      <c r="K355" s="4" t="s">
        <v>24</v>
      </c>
      <c r="L355" s="9">
        <v>45565</v>
      </c>
      <c r="M355" s="9" t="str">
        <f>TEXT(Source_data[[#This Row],[Listing_Date]],"mmm-yy")</f>
        <v>Sep-24</v>
      </c>
      <c r="N355" s="4">
        <f t="shared" si="5"/>
        <v>5488.7122538293215</v>
      </c>
      <c r="O355" s="3" cm="1">
        <f t="array" ref="O355">_xlfn.IFS(AND(K355="Broker",J355="Resale"),F355*0.5,AND(K355="Owner",J355="Resale"),F355*0,AND(K355="Builder",J355="Resale"),F355*0.3,AND(J355="New",K355="Broker"),F355*0.1,AND(J355="New",K355="Owner"),F355*0,AND(J355="New",K355="Builder"),F355*0.5)</f>
        <v>5016683</v>
      </c>
    </row>
    <row r="356" spans="1:15" x14ac:dyDescent="0.3">
      <c r="A356" s="8" t="s">
        <v>398</v>
      </c>
      <c r="B356" s="4" t="s">
        <v>329</v>
      </c>
      <c r="C356" s="4" t="s">
        <v>336</v>
      </c>
      <c r="D356" s="4">
        <v>1</v>
      </c>
      <c r="E356" s="4">
        <v>461</v>
      </c>
      <c r="F356" s="4">
        <v>3826186</v>
      </c>
      <c r="G356" s="4">
        <v>1</v>
      </c>
      <c r="H356" s="4">
        <v>1</v>
      </c>
      <c r="I356" s="4" t="s">
        <v>27</v>
      </c>
      <c r="J356" s="4" t="s">
        <v>19</v>
      </c>
      <c r="K356" s="4" t="s">
        <v>20</v>
      </c>
      <c r="L356" s="9">
        <v>45591</v>
      </c>
      <c r="M356" s="9" t="str">
        <f>TEXT(Source_data[[#This Row],[Listing_Date]],"mmm-yy")</f>
        <v>Oct-24</v>
      </c>
      <c r="N356" s="4">
        <f t="shared" si="5"/>
        <v>8299.752711496747</v>
      </c>
      <c r="O356" s="3" cm="1">
        <f t="array" ref="O356">_xlfn.IFS(AND(K356="Broker",J356="Resale"),F356*0.5,AND(K356="Owner",J356="Resale"),F356*0,AND(K356="Builder",J356="Resale"),F356*0.3,AND(J356="New",K356="Broker"),F356*0.1,AND(J356="New",K356="Owner"),F356*0,AND(J356="New",K356="Builder"),F356*0.5)</f>
        <v>382618.60000000003</v>
      </c>
    </row>
    <row r="357" spans="1:15" x14ac:dyDescent="0.3">
      <c r="A357" s="8" t="s">
        <v>399</v>
      </c>
      <c r="B357" s="4" t="s">
        <v>329</v>
      </c>
      <c r="C357" s="4" t="s">
        <v>332</v>
      </c>
      <c r="D357" s="4">
        <v>4</v>
      </c>
      <c r="E357" s="4">
        <v>2243</v>
      </c>
      <c r="F357" s="4">
        <v>16093280</v>
      </c>
      <c r="G357" s="4">
        <v>3</v>
      </c>
      <c r="H357" s="4">
        <v>3</v>
      </c>
      <c r="I357" s="4" t="s">
        <v>8</v>
      </c>
      <c r="J357" s="4" t="s">
        <v>19</v>
      </c>
      <c r="K357" s="4" t="s">
        <v>24</v>
      </c>
      <c r="L357" s="9">
        <v>45211</v>
      </c>
      <c r="M357" s="9" t="str">
        <f>TEXT(Source_data[[#This Row],[Listing_Date]],"mmm-yy")</f>
        <v>Oct-23</v>
      </c>
      <c r="N357" s="4">
        <f t="shared" si="5"/>
        <v>7174.8907712884529</v>
      </c>
      <c r="O357" s="3" cm="1">
        <f t="array" ref="O357">_xlfn.IFS(AND(K357="Broker",J357="Resale"),F357*0.5,AND(K357="Owner",J357="Resale"),F357*0,AND(K357="Builder",J357="Resale"),F357*0.3,AND(J357="New",K357="Broker"),F357*0.1,AND(J357="New",K357="Owner"),F357*0,AND(J357="New",K357="Builder"),F357*0.5)</f>
        <v>8046640</v>
      </c>
    </row>
    <row r="358" spans="1:15" x14ac:dyDescent="0.3">
      <c r="A358" s="8" t="s">
        <v>400</v>
      </c>
      <c r="B358" s="4" t="s">
        <v>329</v>
      </c>
      <c r="C358" s="4" t="s">
        <v>332</v>
      </c>
      <c r="D358" s="4">
        <v>3</v>
      </c>
      <c r="E358" s="4">
        <v>1426</v>
      </c>
      <c r="F358" s="4">
        <v>10957006</v>
      </c>
      <c r="G358" s="4">
        <v>3</v>
      </c>
      <c r="H358" s="4">
        <v>2</v>
      </c>
      <c r="I358" s="4" t="s">
        <v>18</v>
      </c>
      <c r="J358" s="4" t="s">
        <v>23</v>
      </c>
      <c r="K358" s="4" t="s">
        <v>20</v>
      </c>
      <c r="L358" s="9">
        <v>45115</v>
      </c>
      <c r="M358" s="9" t="str">
        <f>TEXT(Source_data[[#This Row],[Listing_Date]],"mmm-yy")</f>
        <v>Jul-23</v>
      </c>
      <c r="N358" s="4">
        <f t="shared" si="5"/>
        <v>7683.7349228611502</v>
      </c>
      <c r="O358" s="3" cm="1">
        <f t="array" ref="O358">_xlfn.IFS(AND(K358="Broker",J358="Resale"),F358*0.5,AND(K358="Owner",J358="Resale"),F358*0,AND(K358="Builder",J358="Resale"),F358*0.3,AND(J358="New",K358="Broker"),F358*0.1,AND(J358="New",K358="Owner"),F358*0,AND(J358="New",K358="Builder"),F358*0.5)</f>
        <v>5478503</v>
      </c>
    </row>
    <row r="359" spans="1:15" x14ac:dyDescent="0.3">
      <c r="A359" s="8" t="s">
        <v>401</v>
      </c>
      <c r="B359" s="4" t="s">
        <v>329</v>
      </c>
      <c r="C359" s="4" t="s">
        <v>358</v>
      </c>
      <c r="D359" s="4">
        <v>3</v>
      </c>
      <c r="E359" s="4">
        <v>1602</v>
      </c>
      <c r="F359" s="4">
        <v>15324155</v>
      </c>
      <c r="G359" s="4">
        <v>3</v>
      </c>
      <c r="H359" s="4">
        <v>1</v>
      </c>
      <c r="I359" s="4" t="s">
        <v>8</v>
      </c>
      <c r="J359" s="4" t="s">
        <v>19</v>
      </c>
      <c r="K359" s="4" t="s">
        <v>24</v>
      </c>
      <c r="L359" s="9">
        <v>45395</v>
      </c>
      <c r="M359" s="9" t="str">
        <f>TEXT(Source_data[[#This Row],[Listing_Date]],"mmm-yy")</f>
        <v>Apr-24</v>
      </c>
      <c r="N359" s="4">
        <f t="shared" si="5"/>
        <v>9565.6398252184772</v>
      </c>
      <c r="O359" s="3" cm="1">
        <f t="array" ref="O359">_xlfn.IFS(AND(K359="Broker",J359="Resale"),F359*0.5,AND(K359="Owner",J359="Resale"),F359*0,AND(K359="Builder",J359="Resale"),F359*0.3,AND(J359="New",K359="Broker"),F359*0.1,AND(J359="New",K359="Owner"),F359*0,AND(J359="New",K359="Builder"),F359*0.5)</f>
        <v>7662077.5</v>
      </c>
    </row>
    <row r="360" spans="1:15" x14ac:dyDescent="0.3">
      <c r="A360" s="8" t="s">
        <v>402</v>
      </c>
      <c r="B360" s="4" t="s">
        <v>329</v>
      </c>
      <c r="C360" s="4" t="s">
        <v>330</v>
      </c>
      <c r="D360" s="4">
        <v>5</v>
      </c>
      <c r="E360" s="4">
        <v>3541</v>
      </c>
      <c r="F360" s="4">
        <v>87421605</v>
      </c>
      <c r="G360" s="4">
        <v>4</v>
      </c>
      <c r="H360" s="4">
        <v>4</v>
      </c>
      <c r="I360" s="4" t="s">
        <v>27</v>
      </c>
      <c r="J360" s="4" t="s">
        <v>19</v>
      </c>
      <c r="K360" s="4" t="s">
        <v>36</v>
      </c>
      <c r="L360" s="9">
        <v>45587</v>
      </c>
      <c r="M360" s="9" t="str">
        <f>TEXT(Source_data[[#This Row],[Listing_Date]],"mmm-yy")</f>
        <v>Oct-24</v>
      </c>
      <c r="N360" s="4">
        <f t="shared" si="5"/>
        <v>24688.394521321661</v>
      </c>
      <c r="O360" s="3" cm="1">
        <f t="array" ref="O360">_xlfn.IFS(AND(K360="Broker",J360="Resale"),F360*0.5,AND(K360="Owner",J360="Resale"),F360*0,AND(K360="Builder",J360="Resale"),F360*0.3,AND(J360="New",K360="Broker"),F360*0.1,AND(J360="New",K360="Owner"),F360*0,AND(J360="New",K360="Builder"),F360*0.5)</f>
        <v>0</v>
      </c>
    </row>
    <row r="361" spans="1:15" x14ac:dyDescent="0.3">
      <c r="A361" s="8" t="s">
        <v>403</v>
      </c>
      <c r="B361" s="4" t="s">
        <v>329</v>
      </c>
      <c r="C361" s="4" t="s">
        <v>358</v>
      </c>
      <c r="D361" s="4">
        <v>2</v>
      </c>
      <c r="E361" s="4">
        <v>532</v>
      </c>
      <c r="F361" s="4">
        <v>3699682</v>
      </c>
      <c r="G361" s="4">
        <v>2</v>
      </c>
      <c r="H361" s="4">
        <v>4</v>
      </c>
      <c r="I361" s="4" t="s">
        <v>27</v>
      </c>
      <c r="J361" s="4" t="s">
        <v>23</v>
      </c>
      <c r="K361" s="4" t="s">
        <v>20</v>
      </c>
      <c r="L361" s="9">
        <v>45714</v>
      </c>
      <c r="M361" s="9" t="str">
        <f>TEXT(Source_data[[#This Row],[Listing_Date]],"mmm-yy")</f>
        <v>Feb-25</v>
      </c>
      <c r="N361" s="4">
        <f t="shared" si="5"/>
        <v>6954.2894736842109</v>
      </c>
      <c r="O361" s="3" cm="1">
        <f t="array" ref="O361">_xlfn.IFS(AND(K361="Broker",J361="Resale"),F361*0.5,AND(K361="Owner",J361="Resale"),F361*0,AND(K361="Builder",J361="Resale"),F361*0.3,AND(J361="New",K361="Broker"),F361*0.1,AND(J361="New",K361="Owner"),F361*0,AND(J361="New",K361="Builder"),F361*0.5)</f>
        <v>1849841</v>
      </c>
    </row>
    <row r="362" spans="1:15" x14ac:dyDescent="0.3">
      <c r="A362" s="8" t="s">
        <v>404</v>
      </c>
      <c r="B362" s="4" t="s">
        <v>329</v>
      </c>
      <c r="C362" s="4" t="s">
        <v>358</v>
      </c>
      <c r="D362" s="4">
        <v>2</v>
      </c>
      <c r="E362" s="4">
        <v>1053</v>
      </c>
      <c r="F362" s="4">
        <v>7536647</v>
      </c>
      <c r="G362" s="4">
        <v>2</v>
      </c>
      <c r="H362" s="4">
        <v>2</v>
      </c>
      <c r="I362" s="4" t="s">
        <v>8</v>
      </c>
      <c r="J362" s="4" t="s">
        <v>19</v>
      </c>
      <c r="K362" s="4" t="s">
        <v>24</v>
      </c>
      <c r="L362" s="9">
        <v>45245</v>
      </c>
      <c r="M362" s="9" t="str">
        <f>TEXT(Source_data[[#This Row],[Listing_Date]],"mmm-yy")</f>
        <v>Nov-23</v>
      </c>
      <c r="N362" s="4">
        <f t="shared" si="5"/>
        <v>7157.3095916429247</v>
      </c>
      <c r="O362" s="3" cm="1">
        <f t="array" ref="O362">_xlfn.IFS(AND(K362="Broker",J362="Resale"),F362*0.5,AND(K362="Owner",J362="Resale"),F362*0,AND(K362="Builder",J362="Resale"),F362*0.3,AND(J362="New",K362="Broker"),F362*0.1,AND(J362="New",K362="Owner"),F362*0,AND(J362="New",K362="Builder"),F362*0.5)</f>
        <v>3768323.5</v>
      </c>
    </row>
    <row r="363" spans="1:15" x14ac:dyDescent="0.3">
      <c r="A363" s="8" t="s">
        <v>405</v>
      </c>
      <c r="B363" s="4" t="s">
        <v>329</v>
      </c>
      <c r="C363" s="4" t="s">
        <v>351</v>
      </c>
      <c r="D363" s="4">
        <v>5</v>
      </c>
      <c r="E363" s="4">
        <v>2237</v>
      </c>
      <c r="F363" s="4">
        <v>17837751</v>
      </c>
      <c r="G363" s="4">
        <v>3</v>
      </c>
      <c r="H363" s="4">
        <v>4</v>
      </c>
      <c r="I363" s="4" t="s">
        <v>18</v>
      </c>
      <c r="J363" s="4" t="s">
        <v>19</v>
      </c>
      <c r="K363" s="4" t="s">
        <v>36</v>
      </c>
      <c r="L363" s="9">
        <v>44988</v>
      </c>
      <c r="M363" s="9" t="str">
        <f>TEXT(Source_data[[#This Row],[Listing_Date]],"mmm-yy")</f>
        <v>Mar-23</v>
      </c>
      <c r="N363" s="4">
        <f t="shared" si="5"/>
        <v>7973.9611086276263</v>
      </c>
      <c r="O363" s="3" cm="1">
        <f t="array" ref="O363">_xlfn.IFS(AND(K363="Broker",J363="Resale"),F363*0.5,AND(K363="Owner",J363="Resale"),F363*0,AND(K363="Builder",J363="Resale"),F363*0.3,AND(J363="New",K363="Broker"),F363*0.1,AND(J363="New",K363="Owner"),F363*0,AND(J363="New",K363="Builder"),F363*0.5)</f>
        <v>0</v>
      </c>
    </row>
    <row r="364" spans="1:15" x14ac:dyDescent="0.3">
      <c r="A364" s="8" t="s">
        <v>406</v>
      </c>
      <c r="B364" s="4" t="s">
        <v>329</v>
      </c>
      <c r="C364" s="4" t="s">
        <v>358</v>
      </c>
      <c r="D364" s="4">
        <v>4</v>
      </c>
      <c r="E364" s="4">
        <v>1814</v>
      </c>
      <c r="F364" s="4">
        <v>30205514</v>
      </c>
      <c r="G364" s="4">
        <v>3</v>
      </c>
      <c r="H364" s="4">
        <v>4</v>
      </c>
      <c r="I364" s="4" t="s">
        <v>18</v>
      </c>
      <c r="J364" s="4" t="s">
        <v>23</v>
      </c>
      <c r="K364" s="4" t="s">
        <v>24</v>
      </c>
      <c r="L364" s="9">
        <v>45578</v>
      </c>
      <c r="M364" s="9" t="str">
        <f>TEXT(Source_data[[#This Row],[Listing_Date]],"mmm-yy")</f>
        <v>Oct-24</v>
      </c>
      <c r="N364" s="4">
        <f t="shared" si="5"/>
        <v>16651.330760749723</v>
      </c>
      <c r="O364" s="3" cm="1">
        <f t="array" ref="O364">_xlfn.IFS(AND(K364="Broker",J364="Resale"),F364*0.5,AND(K364="Owner",J364="Resale"),F364*0,AND(K364="Builder",J364="Resale"),F364*0.3,AND(J364="New",K364="Broker"),F364*0.1,AND(J364="New",K364="Owner"),F364*0,AND(J364="New",K364="Builder"),F364*0.5)</f>
        <v>9061654.1999999993</v>
      </c>
    </row>
    <row r="365" spans="1:15" x14ac:dyDescent="0.3">
      <c r="A365" s="8" t="s">
        <v>407</v>
      </c>
      <c r="B365" s="4" t="s">
        <v>329</v>
      </c>
      <c r="C365" s="4" t="s">
        <v>339</v>
      </c>
      <c r="D365" s="4">
        <v>3</v>
      </c>
      <c r="E365" s="4">
        <v>958</v>
      </c>
      <c r="F365" s="4">
        <v>9823600</v>
      </c>
      <c r="G365" s="4">
        <v>4</v>
      </c>
      <c r="H365" s="4">
        <v>2</v>
      </c>
      <c r="I365" s="4" t="s">
        <v>18</v>
      </c>
      <c r="J365" s="4" t="s">
        <v>23</v>
      </c>
      <c r="K365" s="4" t="s">
        <v>20</v>
      </c>
      <c r="L365" s="9">
        <v>44941</v>
      </c>
      <c r="M365" s="9" t="str">
        <f>TEXT(Source_data[[#This Row],[Listing_Date]],"mmm-yy")</f>
        <v>Jan-23</v>
      </c>
      <c r="N365" s="4">
        <f t="shared" si="5"/>
        <v>10254.279749478079</v>
      </c>
      <c r="O365" s="3" cm="1">
        <f t="array" ref="O365">_xlfn.IFS(AND(K365="Broker",J365="Resale"),F365*0.5,AND(K365="Owner",J365="Resale"),F365*0,AND(K365="Builder",J365="Resale"),F365*0.3,AND(J365="New",K365="Broker"),F365*0.1,AND(J365="New",K365="Owner"),F365*0,AND(J365="New",K365="Builder"),F365*0.5)</f>
        <v>4911800</v>
      </c>
    </row>
    <row r="366" spans="1:15" x14ac:dyDescent="0.3">
      <c r="A366" s="8" t="s">
        <v>408</v>
      </c>
      <c r="B366" s="4" t="s">
        <v>329</v>
      </c>
      <c r="C366" s="4" t="s">
        <v>339</v>
      </c>
      <c r="D366" s="4">
        <v>1</v>
      </c>
      <c r="E366" s="4">
        <v>702</v>
      </c>
      <c r="F366" s="4">
        <v>6695394</v>
      </c>
      <c r="G366" s="4">
        <v>1</v>
      </c>
      <c r="H366" s="4">
        <v>1</v>
      </c>
      <c r="I366" s="4" t="s">
        <v>27</v>
      </c>
      <c r="J366" s="4" t="s">
        <v>23</v>
      </c>
      <c r="K366" s="4" t="s">
        <v>24</v>
      </c>
      <c r="L366" s="9">
        <v>45832</v>
      </c>
      <c r="M366" s="9" t="str">
        <f>TEXT(Source_data[[#This Row],[Listing_Date]],"mmm-yy")</f>
        <v>Jun-25</v>
      </c>
      <c r="N366" s="4">
        <f t="shared" si="5"/>
        <v>9537.598290598291</v>
      </c>
      <c r="O366" s="3" cm="1">
        <f t="array" ref="O366">_xlfn.IFS(AND(K366="Broker",J366="Resale"),F366*0.5,AND(K366="Owner",J366="Resale"),F366*0,AND(K366="Builder",J366="Resale"),F366*0.3,AND(J366="New",K366="Broker"),F366*0.1,AND(J366="New",K366="Owner"),F366*0,AND(J366="New",K366="Builder"),F366*0.5)</f>
        <v>2008618.2</v>
      </c>
    </row>
    <row r="367" spans="1:15" x14ac:dyDescent="0.3">
      <c r="A367" s="8" t="s">
        <v>409</v>
      </c>
      <c r="B367" s="4" t="s">
        <v>329</v>
      </c>
      <c r="C367" s="4" t="s">
        <v>336</v>
      </c>
      <c r="D367" s="4">
        <v>1</v>
      </c>
      <c r="E367" s="4">
        <v>676</v>
      </c>
      <c r="F367" s="4">
        <v>3750291</v>
      </c>
      <c r="G367" s="4">
        <v>2</v>
      </c>
      <c r="H367" s="4">
        <v>3</v>
      </c>
      <c r="I367" s="4" t="s">
        <v>18</v>
      </c>
      <c r="J367" s="4" t="s">
        <v>19</v>
      </c>
      <c r="K367" s="4" t="s">
        <v>36</v>
      </c>
      <c r="L367" s="9">
        <v>45624</v>
      </c>
      <c r="M367" s="9" t="str">
        <f>TEXT(Source_data[[#This Row],[Listing_Date]],"mmm-yy")</f>
        <v>Nov-24</v>
      </c>
      <c r="N367" s="4">
        <f t="shared" si="5"/>
        <v>5547.7677514792904</v>
      </c>
      <c r="O367" s="3" cm="1">
        <f t="array" ref="O367">_xlfn.IFS(AND(K367="Broker",J367="Resale"),F367*0.5,AND(K367="Owner",J367="Resale"),F367*0,AND(K367="Builder",J367="Resale"),F367*0.3,AND(J367="New",K367="Broker"),F367*0.1,AND(J367="New",K367="Owner"),F367*0,AND(J367="New",K367="Builder"),F367*0.5)</f>
        <v>0</v>
      </c>
    </row>
    <row r="368" spans="1:15" x14ac:dyDescent="0.3">
      <c r="A368" s="8" t="s">
        <v>410</v>
      </c>
      <c r="B368" s="4" t="s">
        <v>329</v>
      </c>
      <c r="C368" s="4" t="s">
        <v>332</v>
      </c>
      <c r="D368" s="4">
        <v>3</v>
      </c>
      <c r="E368" s="4">
        <v>1192</v>
      </c>
      <c r="F368" s="4">
        <v>10670791</v>
      </c>
      <c r="G368" s="4">
        <v>2</v>
      </c>
      <c r="H368" s="4">
        <v>2</v>
      </c>
      <c r="I368" s="4" t="s">
        <v>8</v>
      </c>
      <c r="J368" s="4" t="s">
        <v>19</v>
      </c>
      <c r="K368" s="4" t="s">
        <v>20</v>
      </c>
      <c r="L368" s="9">
        <v>45021</v>
      </c>
      <c r="M368" s="9" t="str">
        <f>TEXT(Source_data[[#This Row],[Listing_Date]],"mmm-yy")</f>
        <v>Apr-23</v>
      </c>
      <c r="N368" s="4">
        <f t="shared" si="5"/>
        <v>8952.0058724832215</v>
      </c>
      <c r="O368" s="3" cm="1">
        <f t="array" ref="O368">_xlfn.IFS(AND(K368="Broker",J368="Resale"),F368*0.5,AND(K368="Owner",J368="Resale"),F368*0,AND(K368="Builder",J368="Resale"),F368*0.3,AND(J368="New",K368="Broker"),F368*0.1,AND(J368="New",K368="Owner"),F368*0,AND(J368="New",K368="Builder"),F368*0.5)</f>
        <v>1067079.1000000001</v>
      </c>
    </row>
    <row r="369" spans="1:15" x14ac:dyDescent="0.3">
      <c r="A369" s="8" t="s">
        <v>411</v>
      </c>
      <c r="B369" s="4" t="s">
        <v>329</v>
      </c>
      <c r="C369" s="4" t="s">
        <v>332</v>
      </c>
      <c r="D369" s="4">
        <v>2</v>
      </c>
      <c r="E369" s="4">
        <v>757</v>
      </c>
      <c r="F369" s="4">
        <v>6740341</v>
      </c>
      <c r="G369" s="4">
        <v>3</v>
      </c>
      <c r="H369" s="4">
        <v>1</v>
      </c>
      <c r="I369" s="4" t="s">
        <v>8</v>
      </c>
      <c r="J369" s="4" t="s">
        <v>19</v>
      </c>
      <c r="K369" s="4" t="s">
        <v>20</v>
      </c>
      <c r="L369" s="9">
        <v>45808</v>
      </c>
      <c r="M369" s="9" t="str">
        <f>TEXT(Source_data[[#This Row],[Listing_Date]],"mmm-yy")</f>
        <v>May-25</v>
      </c>
      <c r="N369" s="4">
        <f t="shared" si="5"/>
        <v>8904.0171730515194</v>
      </c>
      <c r="O369" s="3" cm="1">
        <f t="array" ref="O369">_xlfn.IFS(AND(K369="Broker",J369="Resale"),F369*0.5,AND(K369="Owner",J369="Resale"),F369*0,AND(K369="Builder",J369="Resale"),F369*0.3,AND(J369="New",K369="Broker"),F369*0.1,AND(J369="New",K369="Owner"),F369*0,AND(J369="New",K369="Builder"),F369*0.5)</f>
        <v>674034.10000000009</v>
      </c>
    </row>
    <row r="370" spans="1:15" x14ac:dyDescent="0.3">
      <c r="A370" s="8" t="s">
        <v>412</v>
      </c>
      <c r="B370" s="4" t="s">
        <v>329</v>
      </c>
      <c r="C370" s="4" t="s">
        <v>358</v>
      </c>
      <c r="D370" s="4">
        <v>4</v>
      </c>
      <c r="E370" s="4">
        <v>1814</v>
      </c>
      <c r="F370" s="4">
        <v>30205514</v>
      </c>
      <c r="G370" s="4">
        <v>3</v>
      </c>
      <c r="H370" s="4">
        <v>4</v>
      </c>
      <c r="I370" s="4" t="s">
        <v>18</v>
      </c>
      <c r="J370" s="4" t="s">
        <v>23</v>
      </c>
      <c r="K370" s="4" t="s">
        <v>24</v>
      </c>
      <c r="L370" s="9">
        <v>45578</v>
      </c>
      <c r="M370" s="9" t="str">
        <f>TEXT(Source_data[[#This Row],[Listing_Date]],"mmm-yy")</f>
        <v>Oct-24</v>
      </c>
      <c r="N370" s="4">
        <f t="shared" si="5"/>
        <v>16651.330760749723</v>
      </c>
      <c r="O370" s="3" cm="1">
        <f t="array" ref="O370">_xlfn.IFS(AND(K370="Broker",J370="Resale"),F370*0.5,AND(K370="Owner",J370="Resale"),F370*0,AND(K370="Builder",J370="Resale"),F370*0.3,AND(J370="New",K370="Broker"),F370*0.1,AND(J370="New",K370="Owner"),F370*0,AND(J370="New",K370="Builder"),F370*0.5)</f>
        <v>9061654.1999999993</v>
      </c>
    </row>
    <row r="371" spans="1:15" x14ac:dyDescent="0.3">
      <c r="A371" s="8" t="s">
        <v>413</v>
      </c>
      <c r="B371" s="4" t="s">
        <v>329</v>
      </c>
      <c r="C371" s="4" t="s">
        <v>351</v>
      </c>
      <c r="D371" s="4">
        <v>1</v>
      </c>
      <c r="E371" s="4">
        <v>429</v>
      </c>
      <c r="F371" s="4">
        <v>4436740</v>
      </c>
      <c r="G371" s="4">
        <v>1</v>
      </c>
      <c r="H371" s="4">
        <v>1</v>
      </c>
      <c r="I371" s="4" t="s">
        <v>18</v>
      </c>
      <c r="J371" s="4" t="s">
        <v>23</v>
      </c>
      <c r="K371" s="4" t="s">
        <v>36</v>
      </c>
      <c r="L371" s="9">
        <v>45870</v>
      </c>
      <c r="M371" s="9" t="str">
        <f>TEXT(Source_data[[#This Row],[Listing_Date]],"mmm-yy")</f>
        <v>Aug-25</v>
      </c>
      <c r="N371" s="4">
        <f t="shared" si="5"/>
        <v>10342.051282051281</v>
      </c>
      <c r="O371" s="3" cm="1">
        <f t="array" ref="O371">_xlfn.IFS(AND(K371="Broker",J371="Resale"),F371*0.5,AND(K371="Owner",J371="Resale"),F371*0,AND(K371="Builder",J371="Resale"),F371*0.3,AND(J371="New",K371="Broker"),F371*0.1,AND(J371="New",K371="Owner"),F371*0,AND(J371="New",K371="Builder"),F371*0.5)</f>
        <v>0</v>
      </c>
    </row>
    <row r="372" spans="1:15" x14ac:dyDescent="0.3">
      <c r="A372" s="8" t="s">
        <v>414</v>
      </c>
      <c r="B372" s="4" t="s">
        <v>329</v>
      </c>
      <c r="C372" s="4" t="s">
        <v>358</v>
      </c>
      <c r="D372" s="4">
        <v>1</v>
      </c>
      <c r="E372" s="4">
        <v>490</v>
      </c>
      <c r="F372" s="4">
        <v>4498722</v>
      </c>
      <c r="G372" s="4">
        <v>1</v>
      </c>
      <c r="H372" s="4">
        <v>1</v>
      </c>
      <c r="I372" s="4" t="s">
        <v>8</v>
      </c>
      <c r="J372" s="4" t="s">
        <v>23</v>
      </c>
      <c r="K372" s="4" t="s">
        <v>24</v>
      </c>
      <c r="L372" s="9">
        <v>45540</v>
      </c>
      <c r="M372" s="9" t="str">
        <f>TEXT(Source_data[[#This Row],[Listing_Date]],"mmm-yy")</f>
        <v>Sep-24</v>
      </c>
      <c r="N372" s="4">
        <f t="shared" si="5"/>
        <v>9181.0653061224493</v>
      </c>
      <c r="O372" s="3" cm="1">
        <f t="array" ref="O372">_xlfn.IFS(AND(K372="Broker",J372="Resale"),F372*0.5,AND(K372="Owner",J372="Resale"),F372*0,AND(K372="Builder",J372="Resale"),F372*0.3,AND(J372="New",K372="Broker"),F372*0.1,AND(J372="New",K372="Owner"),F372*0,AND(J372="New",K372="Builder"),F372*0.5)</f>
        <v>1349616.5999999999</v>
      </c>
    </row>
    <row r="373" spans="1:15" x14ac:dyDescent="0.3">
      <c r="A373" s="8" t="s">
        <v>415</v>
      </c>
      <c r="B373" s="4" t="s">
        <v>329</v>
      </c>
      <c r="C373" s="4" t="s">
        <v>358</v>
      </c>
      <c r="D373" s="4">
        <v>3</v>
      </c>
      <c r="E373" s="4">
        <v>788</v>
      </c>
      <c r="F373" s="4">
        <v>4856507</v>
      </c>
      <c r="G373" s="4">
        <v>2</v>
      </c>
      <c r="H373" s="4">
        <v>2</v>
      </c>
      <c r="I373" s="4" t="s">
        <v>8</v>
      </c>
      <c r="J373" s="4" t="s">
        <v>19</v>
      </c>
      <c r="K373" s="4" t="s">
        <v>20</v>
      </c>
      <c r="L373" s="9">
        <v>45223</v>
      </c>
      <c r="M373" s="9" t="str">
        <f>TEXT(Source_data[[#This Row],[Listing_Date]],"mmm-yy")</f>
        <v>Oct-23</v>
      </c>
      <c r="N373" s="4">
        <f t="shared" si="5"/>
        <v>6163.0799492385786</v>
      </c>
      <c r="O373" s="3" cm="1">
        <f t="array" ref="O373">_xlfn.IFS(AND(K373="Broker",J373="Resale"),F373*0.5,AND(K373="Owner",J373="Resale"),F373*0,AND(K373="Builder",J373="Resale"),F373*0.3,AND(J373="New",K373="Broker"),F373*0.1,AND(J373="New",K373="Owner"),F373*0,AND(J373="New",K373="Builder"),F373*0.5)</f>
        <v>485650.7</v>
      </c>
    </row>
    <row r="374" spans="1:15" x14ac:dyDescent="0.3">
      <c r="A374" s="8" t="s">
        <v>416</v>
      </c>
      <c r="B374" s="4" t="s">
        <v>329</v>
      </c>
      <c r="C374" s="4" t="s">
        <v>336</v>
      </c>
      <c r="D374" s="4">
        <v>1</v>
      </c>
      <c r="E374" s="4">
        <v>691</v>
      </c>
      <c r="F374" s="4">
        <v>5152549</v>
      </c>
      <c r="G374" s="4">
        <v>1</v>
      </c>
      <c r="H374" s="4">
        <v>4</v>
      </c>
      <c r="I374" s="4" t="s">
        <v>27</v>
      </c>
      <c r="J374" s="4" t="s">
        <v>23</v>
      </c>
      <c r="K374" s="4" t="s">
        <v>36</v>
      </c>
      <c r="L374" s="9">
        <v>44971</v>
      </c>
      <c r="M374" s="9" t="str">
        <f>TEXT(Source_data[[#This Row],[Listing_Date]],"mmm-yy")</f>
        <v>Feb-23</v>
      </c>
      <c r="N374" s="4">
        <f t="shared" si="5"/>
        <v>7456.6555716353114</v>
      </c>
      <c r="O374" s="3" cm="1">
        <f t="array" ref="O374">_xlfn.IFS(AND(K374="Broker",J374="Resale"),F374*0.5,AND(K374="Owner",J374="Resale"),F374*0,AND(K374="Builder",J374="Resale"),F374*0.3,AND(J374="New",K374="Broker"),F374*0.1,AND(J374="New",K374="Owner"),F374*0,AND(J374="New",K374="Builder"),F374*0.5)</f>
        <v>0</v>
      </c>
    </row>
    <row r="375" spans="1:15" x14ac:dyDescent="0.3">
      <c r="A375" s="8" t="s">
        <v>417</v>
      </c>
      <c r="B375" s="4" t="s">
        <v>329</v>
      </c>
      <c r="C375" s="4" t="s">
        <v>336</v>
      </c>
      <c r="D375" s="4">
        <v>1</v>
      </c>
      <c r="E375" s="4">
        <v>414</v>
      </c>
      <c r="F375" s="4">
        <v>3879053</v>
      </c>
      <c r="G375" s="4">
        <v>1</v>
      </c>
      <c r="H375" s="4">
        <v>2</v>
      </c>
      <c r="I375" s="4" t="s">
        <v>27</v>
      </c>
      <c r="J375" s="4" t="s">
        <v>19</v>
      </c>
      <c r="K375" s="4" t="s">
        <v>36</v>
      </c>
      <c r="L375" s="9">
        <v>45118</v>
      </c>
      <c r="M375" s="9" t="str">
        <f>TEXT(Source_data[[#This Row],[Listing_Date]],"mmm-yy")</f>
        <v>Jul-23</v>
      </c>
      <c r="N375" s="4">
        <f t="shared" si="5"/>
        <v>9369.6932367149766</v>
      </c>
      <c r="O375" s="3" cm="1">
        <f t="array" ref="O375">_xlfn.IFS(AND(K375="Broker",J375="Resale"),F375*0.5,AND(K375="Owner",J375="Resale"),F375*0,AND(K375="Builder",J375="Resale"),F375*0.3,AND(J375="New",K375="Broker"),F375*0.1,AND(J375="New",K375="Owner"),F375*0,AND(J375="New",K375="Builder"),F375*0.5)</f>
        <v>0</v>
      </c>
    </row>
    <row r="376" spans="1:15" x14ac:dyDescent="0.3">
      <c r="A376" s="8" t="s">
        <v>418</v>
      </c>
      <c r="B376" s="4" t="s">
        <v>329</v>
      </c>
      <c r="C376" s="4" t="s">
        <v>351</v>
      </c>
      <c r="D376" s="4">
        <v>3</v>
      </c>
      <c r="E376" s="4">
        <v>1204</v>
      </c>
      <c r="F376" s="4">
        <v>10287931</v>
      </c>
      <c r="G376" s="4">
        <v>2</v>
      </c>
      <c r="H376" s="4">
        <v>2</v>
      </c>
      <c r="I376" s="4" t="s">
        <v>8</v>
      </c>
      <c r="J376" s="4" t="s">
        <v>23</v>
      </c>
      <c r="K376" s="4" t="s">
        <v>24</v>
      </c>
      <c r="L376" s="9">
        <v>45038</v>
      </c>
      <c r="M376" s="9" t="str">
        <f>TEXT(Source_data[[#This Row],[Listing_Date]],"mmm-yy")</f>
        <v>Apr-23</v>
      </c>
      <c r="N376" s="4">
        <f t="shared" si="5"/>
        <v>8544.793189368771</v>
      </c>
      <c r="O376" s="3" cm="1">
        <f t="array" ref="O376">_xlfn.IFS(AND(K376="Broker",J376="Resale"),F376*0.5,AND(K376="Owner",J376="Resale"),F376*0,AND(K376="Builder",J376="Resale"),F376*0.3,AND(J376="New",K376="Broker"),F376*0.1,AND(J376="New",K376="Owner"),F376*0,AND(J376="New",K376="Builder"),F376*0.5)</f>
        <v>3086379.3</v>
      </c>
    </row>
    <row r="377" spans="1:15" x14ac:dyDescent="0.3">
      <c r="A377" s="8" t="s">
        <v>419</v>
      </c>
      <c r="B377" s="4" t="s">
        <v>329</v>
      </c>
      <c r="C377" s="4" t="s">
        <v>332</v>
      </c>
      <c r="D377" s="4">
        <v>1</v>
      </c>
      <c r="E377" s="4">
        <v>592</v>
      </c>
      <c r="F377" s="4">
        <v>4813161</v>
      </c>
      <c r="G377" s="4">
        <v>2</v>
      </c>
      <c r="H377" s="4">
        <v>1</v>
      </c>
      <c r="I377" s="4" t="s">
        <v>8</v>
      </c>
      <c r="J377" s="4" t="s">
        <v>19</v>
      </c>
      <c r="K377" s="4" t="s">
        <v>20</v>
      </c>
      <c r="L377" s="9">
        <v>45326</v>
      </c>
      <c r="M377" s="9" t="str">
        <f>TEXT(Source_data[[#This Row],[Listing_Date]],"mmm-yy")</f>
        <v>Feb-24</v>
      </c>
      <c r="N377" s="4">
        <f t="shared" si="5"/>
        <v>8130.3395270270266</v>
      </c>
      <c r="O377" s="3" cm="1">
        <f t="array" ref="O377">_xlfn.IFS(AND(K377="Broker",J377="Resale"),F377*0.5,AND(K377="Owner",J377="Resale"),F377*0,AND(K377="Builder",J377="Resale"),F377*0.3,AND(J377="New",K377="Broker"),F377*0.1,AND(J377="New",K377="Owner"),F377*0,AND(J377="New",K377="Builder"),F377*0.5)</f>
        <v>481316.10000000003</v>
      </c>
    </row>
    <row r="378" spans="1:15" x14ac:dyDescent="0.3">
      <c r="A378" s="8" t="s">
        <v>420</v>
      </c>
      <c r="B378" s="4" t="s">
        <v>329</v>
      </c>
      <c r="C378" s="4" t="s">
        <v>332</v>
      </c>
      <c r="D378" s="4">
        <v>2</v>
      </c>
      <c r="E378" s="4">
        <v>942</v>
      </c>
      <c r="F378" s="4">
        <v>6745166</v>
      </c>
      <c r="G378" s="4">
        <v>2</v>
      </c>
      <c r="H378" s="4">
        <v>2</v>
      </c>
      <c r="I378" s="4" t="s">
        <v>8</v>
      </c>
      <c r="J378" s="4" t="s">
        <v>23</v>
      </c>
      <c r="K378" s="4" t="s">
        <v>20</v>
      </c>
      <c r="L378" s="9">
        <v>45127</v>
      </c>
      <c r="M378" s="9" t="str">
        <f>TEXT(Source_data[[#This Row],[Listing_Date]],"mmm-yy")</f>
        <v>Jul-23</v>
      </c>
      <c r="N378" s="4">
        <f t="shared" si="5"/>
        <v>7160.4734607218679</v>
      </c>
      <c r="O378" s="3" cm="1">
        <f t="array" ref="O378">_xlfn.IFS(AND(K378="Broker",J378="Resale"),F378*0.5,AND(K378="Owner",J378="Resale"),F378*0,AND(K378="Builder",J378="Resale"),F378*0.3,AND(J378="New",K378="Broker"),F378*0.1,AND(J378="New",K378="Owner"),F378*0,AND(J378="New",K378="Builder"),F378*0.5)</f>
        <v>3372583</v>
      </c>
    </row>
    <row r="379" spans="1:15" x14ac:dyDescent="0.3">
      <c r="A379" s="8" t="s">
        <v>421</v>
      </c>
      <c r="B379" s="4" t="s">
        <v>329</v>
      </c>
      <c r="C379" s="4" t="s">
        <v>358</v>
      </c>
      <c r="D379" s="4">
        <v>2</v>
      </c>
      <c r="E379" s="4">
        <v>1317</v>
      </c>
      <c r="F379" s="4">
        <v>9056802</v>
      </c>
      <c r="G379" s="4">
        <v>2</v>
      </c>
      <c r="H379" s="4">
        <v>2</v>
      </c>
      <c r="I379" s="4" t="s">
        <v>8</v>
      </c>
      <c r="J379" s="4" t="s">
        <v>23</v>
      </c>
      <c r="K379" s="4" t="s">
        <v>24</v>
      </c>
      <c r="L379" s="9">
        <v>45767</v>
      </c>
      <c r="M379" s="9" t="str">
        <f>TEXT(Source_data[[#This Row],[Listing_Date]],"mmm-yy")</f>
        <v>Apr-25</v>
      </c>
      <c r="N379" s="4">
        <f t="shared" si="5"/>
        <v>6876.8428246013664</v>
      </c>
      <c r="O379" s="3" cm="1">
        <f t="array" ref="O379">_xlfn.IFS(AND(K379="Broker",J379="Resale"),F379*0.5,AND(K379="Owner",J379="Resale"),F379*0,AND(K379="Builder",J379="Resale"),F379*0.3,AND(J379="New",K379="Broker"),F379*0.1,AND(J379="New",K379="Owner"),F379*0,AND(J379="New",K379="Builder"),F379*0.5)</f>
        <v>2717040.6</v>
      </c>
    </row>
    <row r="380" spans="1:15" x14ac:dyDescent="0.3">
      <c r="A380" s="8" t="s">
        <v>422</v>
      </c>
      <c r="B380" s="4" t="s">
        <v>329</v>
      </c>
      <c r="C380" s="4" t="s">
        <v>332</v>
      </c>
      <c r="D380" s="4">
        <v>2</v>
      </c>
      <c r="E380" s="4">
        <v>1074</v>
      </c>
      <c r="F380" s="4">
        <v>6716924</v>
      </c>
      <c r="G380" s="4">
        <v>2</v>
      </c>
      <c r="H380" s="4">
        <v>2</v>
      </c>
      <c r="I380" s="4" t="s">
        <v>18</v>
      </c>
      <c r="J380" s="4" t="s">
        <v>19</v>
      </c>
      <c r="K380" s="4" t="s">
        <v>36</v>
      </c>
      <c r="L380" s="9">
        <v>45873</v>
      </c>
      <c r="M380" s="9" t="str">
        <f>TEXT(Source_data[[#This Row],[Listing_Date]],"mmm-yy")</f>
        <v>Aug-25</v>
      </c>
      <c r="N380" s="4">
        <f t="shared" si="5"/>
        <v>6254.1191806331472</v>
      </c>
      <c r="O380" s="3" cm="1">
        <f t="array" ref="O380">_xlfn.IFS(AND(K380="Broker",J380="Resale"),F380*0.5,AND(K380="Owner",J380="Resale"),F380*0,AND(K380="Builder",J380="Resale"),F380*0.3,AND(J380="New",K380="Broker"),F380*0.1,AND(J380="New",K380="Owner"),F380*0,AND(J380="New",K380="Builder"),F380*0.5)</f>
        <v>0</v>
      </c>
    </row>
    <row r="381" spans="1:15" x14ac:dyDescent="0.3">
      <c r="A381" s="8" t="s">
        <v>423</v>
      </c>
      <c r="B381" s="4" t="s">
        <v>329</v>
      </c>
      <c r="C381" s="4" t="s">
        <v>339</v>
      </c>
      <c r="D381" s="4">
        <v>4</v>
      </c>
      <c r="E381" s="4">
        <v>1901</v>
      </c>
      <c r="F381" s="4">
        <v>19354751</v>
      </c>
      <c r="G381" s="4">
        <v>2</v>
      </c>
      <c r="H381" s="4">
        <v>2</v>
      </c>
      <c r="I381" s="4" t="s">
        <v>18</v>
      </c>
      <c r="J381" s="4" t="s">
        <v>19</v>
      </c>
      <c r="K381" s="4" t="s">
        <v>36</v>
      </c>
      <c r="L381" s="9">
        <v>45631</v>
      </c>
      <c r="M381" s="9" t="str">
        <f>TEXT(Source_data[[#This Row],[Listing_Date]],"mmm-yy")</f>
        <v>Dec-24</v>
      </c>
      <c r="N381" s="4">
        <f t="shared" si="5"/>
        <v>10181.352446081009</v>
      </c>
      <c r="O381" s="3" cm="1">
        <f t="array" ref="O381">_xlfn.IFS(AND(K381="Broker",J381="Resale"),F381*0.5,AND(K381="Owner",J381="Resale"),F381*0,AND(K381="Builder",J381="Resale"),F381*0.3,AND(J381="New",K381="Broker"),F381*0.1,AND(J381="New",K381="Owner"),F381*0,AND(J381="New",K381="Builder"),F381*0.5)</f>
        <v>0</v>
      </c>
    </row>
    <row r="382" spans="1:15" x14ac:dyDescent="0.3">
      <c r="A382" s="8" t="s">
        <v>424</v>
      </c>
      <c r="B382" s="4" t="s">
        <v>329</v>
      </c>
      <c r="C382" s="4" t="s">
        <v>339</v>
      </c>
      <c r="D382" s="4">
        <v>2</v>
      </c>
      <c r="E382" s="4">
        <v>714</v>
      </c>
      <c r="F382" s="4">
        <v>4969131</v>
      </c>
      <c r="G382" s="4">
        <v>2</v>
      </c>
      <c r="H382" s="4">
        <v>3</v>
      </c>
      <c r="I382" s="4" t="s">
        <v>8</v>
      </c>
      <c r="J382" s="4" t="s">
        <v>23</v>
      </c>
      <c r="K382" s="4" t="s">
        <v>36</v>
      </c>
      <c r="L382" s="9">
        <v>45258</v>
      </c>
      <c r="M382" s="9" t="str">
        <f>TEXT(Source_data[[#This Row],[Listing_Date]],"mmm-yy")</f>
        <v>Nov-23</v>
      </c>
      <c r="N382" s="4">
        <f t="shared" si="5"/>
        <v>6959.5672268907565</v>
      </c>
      <c r="O382" s="3" cm="1">
        <f t="array" ref="O382">_xlfn.IFS(AND(K382="Broker",J382="Resale"),F382*0.5,AND(K382="Owner",J382="Resale"),F382*0,AND(K382="Builder",J382="Resale"),F382*0.3,AND(J382="New",K382="Broker"),F382*0.1,AND(J382="New",K382="Owner"),F382*0,AND(J382="New",K382="Builder"),F382*0.5)</f>
        <v>0</v>
      </c>
    </row>
    <row r="383" spans="1:15" x14ac:dyDescent="0.3">
      <c r="A383" s="8" t="s">
        <v>425</v>
      </c>
      <c r="B383" s="4" t="s">
        <v>329</v>
      </c>
      <c r="C383" s="4" t="s">
        <v>339</v>
      </c>
      <c r="D383" s="4">
        <v>2</v>
      </c>
      <c r="E383" s="4">
        <v>928</v>
      </c>
      <c r="F383" s="4">
        <v>7814198</v>
      </c>
      <c r="G383" s="4">
        <v>2</v>
      </c>
      <c r="H383" s="4">
        <v>1</v>
      </c>
      <c r="I383" s="4" t="s">
        <v>18</v>
      </c>
      <c r="J383" s="4" t="s">
        <v>19</v>
      </c>
      <c r="K383" s="4" t="s">
        <v>36</v>
      </c>
      <c r="L383" s="9">
        <v>45556</v>
      </c>
      <c r="M383" s="9" t="str">
        <f>TEXT(Source_data[[#This Row],[Listing_Date]],"mmm-yy")</f>
        <v>Sep-24</v>
      </c>
      <c r="N383" s="4">
        <f t="shared" si="5"/>
        <v>8420.4719827586214</v>
      </c>
      <c r="O383" s="3" cm="1">
        <f t="array" ref="O383">_xlfn.IFS(AND(K383="Broker",J383="Resale"),F383*0.5,AND(K383="Owner",J383="Resale"),F383*0,AND(K383="Builder",J383="Resale"),F383*0.3,AND(J383="New",K383="Broker"),F383*0.1,AND(J383="New",K383="Owner"),F383*0,AND(J383="New",K383="Builder"),F383*0.5)</f>
        <v>0</v>
      </c>
    </row>
    <row r="384" spans="1:15" x14ac:dyDescent="0.3">
      <c r="A384" s="8" t="s">
        <v>426</v>
      </c>
      <c r="B384" s="4" t="s">
        <v>329</v>
      </c>
      <c r="C384" s="4" t="s">
        <v>339</v>
      </c>
      <c r="D384" s="4">
        <v>3</v>
      </c>
      <c r="E384" s="4">
        <v>1430</v>
      </c>
      <c r="F384" s="4">
        <v>15782420</v>
      </c>
      <c r="G384" s="4">
        <v>4</v>
      </c>
      <c r="H384" s="4">
        <v>1</v>
      </c>
      <c r="I384" s="4" t="s">
        <v>27</v>
      </c>
      <c r="J384" s="4" t="s">
        <v>23</v>
      </c>
      <c r="K384" s="4" t="s">
        <v>24</v>
      </c>
      <c r="L384" s="9">
        <v>45530</v>
      </c>
      <c r="M384" s="9" t="str">
        <f>TEXT(Source_data[[#This Row],[Listing_Date]],"mmm-yy")</f>
        <v>Aug-24</v>
      </c>
      <c r="N384" s="4">
        <f t="shared" si="5"/>
        <v>11036.657342657343</v>
      </c>
      <c r="O384" s="3" cm="1">
        <f t="array" ref="O384">_xlfn.IFS(AND(K384="Broker",J384="Resale"),F384*0.5,AND(K384="Owner",J384="Resale"),F384*0,AND(K384="Builder",J384="Resale"),F384*0.3,AND(J384="New",K384="Broker"),F384*0.1,AND(J384="New",K384="Owner"),F384*0,AND(J384="New",K384="Builder"),F384*0.5)</f>
        <v>4734726</v>
      </c>
    </row>
    <row r="385" spans="1:15" x14ac:dyDescent="0.3">
      <c r="A385" s="8" t="s">
        <v>427</v>
      </c>
      <c r="B385" s="4" t="s">
        <v>329</v>
      </c>
      <c r="C385" s="4" t="s">
        <v>351</v>
      </c>
      <c r="D385" s="4">
        <v>2</v>
      </c>
      <c r="E385" s="4">
        <v>962</v>
      </c>
      <c r="F385" s="4">
        <v>8644839</v>
      </c>
      <c r="G385" s="4">
        <v>1</v>
      </c>
      <c r="H385" s="4">
        <v>0</v>
      </c>
      <c r="I385" s="4" t="s">
        <v>8</v>
      </c>
      <c r="J385" s="4" t="s">
        <v>19</v>
      </c>
      <c r="K385" s="4" t="s">
        <v>36</v>
      </c>
      <c r="L385" s="9">
        <v>45191</v>
      </c>
      <c r="M385" s="9" t="str">
        <f>TEXT(Source_data[[#This Row],[Listing_Date]],"mmm-yy")</f>
        <v>Sep-23</v>
      </c>
      <c r="N385" s="4">
        <f t="shared" si="5"/>
        <v>8986.3191268191276</v>
      </c>
      <c r="O385" s="3" cm="1">
        <f t="array" ref="O385">_xlfn.IFS(AND(K385="Broker",J385="Resale"),F385*0.5,AND(K385="Owner",J385="Resale"),F385*0,AND(K385="Builder",J385="Resale"),F385*0.3,AND(J385="New",K385="Broker"),F385*0.1,AND(J385="New",K385="Owner"),F385*0,AND(J385="New",K385="Builder"),F385*0.5)</f>
        <v>0</v>
      </c>
    </row>
    <row r="386" spans="1:15" x14ac:dyDescent="0.3">
      <c r="A386" s="8" t="s">
        <v>428</v>
      </c>
      <c r="B386" s="4" t="s">
        <v>329</v>
      </c>
      <c r="C386" s="4" t="s">
        <v>339</v>
      </c>
      <c r="D386" s="4">
        <v>2</v>
      </c>
      <c r="E386" s="4">
        <v>1013</v>
      </c>
      <c r="F386" s="4">
        <v>6591320</v>
      </c>
      <c r="G386" s="4">
        <v>2</v>
      </c>
      <c r="H386" s="4">
        <v>2</v>
      </c>
      <c r="I386" s="4" t="s">
        <v>8</v>
      </c>
      <c r="J386" s="4" t="s">
        <v>19</v>
      </c>
      <c r="K386" s="4" t="s">
        <v>24</v>
      </c>
      <c r="L386" s="9">
        <v>45842</v>
      </c>
      <c r="M386" s="9" t="str">
        <f>TEXT(Source_data[[#This Row],[Listing_Date]],"mmm-yy")</f>
        <v>Jul-25</v>
      </c>
      <c r="N386" s="4">
        <f t="shared" si="5"/>
        <v>6506.7324777887461</v>
      </c>
      <c r="O386" s="3" cm="1">
        <f t="array" ref="O386">_xlfn.IFS(AND(K386="Broker",J386="Resale"),F386*0.5,AND(K386="Owner",J386="Resale"),F386*0,AND(K386="Builder",J386="Resale"),F386*0.3,AND(J386="New",K386="Broker"),F386*0.1,AND(J386="New",K386="Owner"),F386*0,AND(J386="New",K386="Builder"),F386*0.5)</f>
        <v>3295660</v>
      </c>
    </row>
    <row r="387" spans="1:15" x14ac:dyDescent="0.3">
      <c r="A387" s="8" t="s">
        <v>429</v>
      </c>
      <c r="B387" s="4" t="s">
        <v>329</v>
      </c>
      <c r="C387" s="4" t="s">
        <v>336</v>
      </c>
      <c r="D387" s="4">
        <v>1</v>
      </c>
      <c r="E387" s="4">
        <v>676</v>
      </c>
      <c r="F387" s="4">
        <v>3750291</v>
      </c>
      <c r="G387" s="4">
        <v>2</v>
      </c>
      <c r="H387" s="4">
        <v>3</v>
      </c>
      <c r="I387" s="4" t="s">
        <v>18</v>
      </c>
      <c r="J387" s="4" t="s">
        <v>19</v>
      </c>
      <c r="K387" s="4" t="s">
        <v>36</v>
      </c>
      <c r="L387" s="9">
        <v>45624</v>
      </c>
      <c r="M387" s="9" t="str">
        <f>TEXT(Source_data[[#This Row],[Listing_Date]],"mmm-yy")</f>
        <v>Nov-24</v>
      </c>
      <c r="N387" s="4">
        <f t="shared" ref="N387:N450" si="6">F387/E387</f>
        <v>5547.7677514792904</v>
      </c>
      <c r="O387" s="3" cm="1">
        <f t="array" ref="O387">_xlfn.IFS(AND(K387="Broker",J387="Resale"),F387*0.5,AND(K387="Owner",J387="Resale"),F387*0,AND(K387="Builder",J387="Resale"),F387*0.3,AND(J387="New",K387="Broker"),F387*0.1,AND(J387="New",K387="Owner"),F387*0,AND(J387="New",K387="Builder"),F387*0.5)</f>
        <v>0</v>
      </c>
    </row>
    <row r="388" spans="1:15" x14ac:dyDescent="0.3">
      <c r="A388" s="8" t="s">
        <v>430</v>
      </c>
      <c r="B388" s="4" t="s">
        <v>329</v>
      </c>
      <c r="C388" s="4" t="s">
        <v>330</v>
      </c>
      <c r="D388" s="4">
        <v>2</v>
      </c>
      <c r="E388" s="4">
        <v>1282</v>
      </c>
      <c r="F388" s="4">
        <v>10478892</v>
      </c>
      <c r="G388" s="4">
        <v>2</v>
      </c>
      <c r="H388" s="4">
        <v>2</v>
      </c>
      <c r="I388" s="4" t="s">
        <v>8</v>
      </c>
      <c r="J388" s="4" t="s">
        <v>19</v>
      </c>
      <c r="K388" s="4" t="s">
        <v>20</v>
      </c>
      <c r="L388" s="9">
        <v>45382</v>
      </c>
      <c r="M388" s="9" t="str">
        <f>TEXT(Source_data[[#This Row],[Listing_Date]],"mmm-yy")</f>
        <v>Mar-24</v>
      </c>
      <c r="N388" s="4">
        <f t="shared" si="6"/>
        <v>8173.8627145085802</v>
      </c>
      <c r="O388" s="3" cm="1">
        <f t="array" ref="O388">_xlfn.IFS(AND(K388="Broker",J388="Resale"),F388*0.5,AND(K388="Owner",J388="Resale"),F388*0,AND(K388="Builder",J388="Resale"),F388*0.3,AND(J388="New",K388="Broker"),F388*0.1,AND(J388="New",K388="Owner"),F388*0,AND(J388="New",K388="Builder"),F388*0.5)</f>
        <v>1047889.2000000001</v>
      </c>
    </row>
    <row r="389" spans="1:15" x14ac:dyDescent="0.3">
      <c r="A389" s="8" t="s">
        <v>431</v>
      </c>
      <c r="B389" s="4" t="s">
        <v>329</v>
      </c>
      <c r="C389" s="4" t="s">
        <v>339</v>
      </c>
      <c r="D389" s="4">
        <v>2</v>
      </c>
      <c r="E389" s="4">
        <v>1234</v>
      </c>
      <c r="F389" s="4">
        <v>10162588</v>
      </c>
      <c r="G389" s="4">
        <v>3</v>
      </c>
      <c r="H389" s="4">
        <v>1</v>
      </c>
      <c r="I389" s="4" t="s">
        <v>8</v>
      </c>
      <c r="J389" s="4" t="s">
        <v>23</v>
      </c>
      <c r="K389" s="4" t="s">
        <v>20</v>
      </c>
      <c r="L389" s="9">
        <v>45439</v>
      </c>
      <c r="M389" s="9" t="str">
        <f>TEXT(Source_data[[#This Row],[Listing_Date]],"mmm-yy")</f>
        <v>May-24</v>
      </c>
      <c r="N389" s="4">
        <f t="shared" si="6"/>
        <v>8235.4846029173423</v>
      </c>
      <c r="O389" s="3" cm="1">
        <f t="array" ref="O389">_xlfn.IFS(AND(K389="Broker",J389="Resale"),F389*0.5,AND(K389="Owner",J389="Resale"),F389*0,AND(K389="Builder",J389="Resale"),F389*0.3,AND(J389="New",K389="Broker"),F389*0.1,AND(J389="New",K389="Owner"),F389*0,AND(J389="New",K389="Builder"),F389*0.5)</f>
        <v>5081294</v>
      </c>
    </row>
    <row r="390" spans="1:15" x14ac:dyDescent="0.3">
      <c r="A390" s="8" t="s">
        <v>432</v>
      </c>
      <c r="B390" s="4" t="s">
        <v>329</v>
      </c>
      <c r="C390" s="4" t="s">
        <v>351</v>
      </c>
      <c r="D390" s="4">
        <v>2</v>
      </c>
      <c r="E390" s="4">
        <v>1113</v>
      </c>
      <c r="F390" s="4">
        <v>10308546</v>
      </c>
      <c r="G390" s="4">
        <v>2</v>
      </c>
      <c r="H390" s="4">
        <v>3</v>
      </c>
      <c r="I390" s="4" t="s">
        <v>27</v>
      </c>
      <c r="J390" s="4" t="s">
        <v>23</v>
      </c>
      <c r="K390" s="4" t="s">
        <v>24</v>
      </c>
      <c r="L390" s="9">
        <v>45288</v>
      </c>
      <c r="M390" s="9" t="str">
        <f>TEXT(Source_data[[#This Row],[Listing_Date]],"mmm-yy")</f>
        <v>Dec-23</v>
      </c>
      <c r="N390" s="4">
        <f t="shared" si="6"/>
        <v>9261.946091644204</v>
      </c>
      <c r="O390" s="3" cm="1">
        <f t="array" ref="O390">_xlfn.IFS(AND(K390="Broker",J390="Resale"),F390*0.5,AND(K390="Owner",J390="Resale"),F390*0,AND(K390="Builder",J390="Resale"),F390*0.3,AND(J390="New",K390="Broker"),F390*0.1,AND(J390="New",K390="Owner"),F390*0,AND(J390="New",K390="Builder"),F390*0.5)</f>
        <v>3092563.8</v>
      </c>
    </row>
    <row r="391" spans="1:15" x14ac:dyDescent="0.3">
      <c r="A391" s="8" t="s">
        <v>433</v>
      </c>
      <c r="B391" s="4" t="s">
        <v>329</v>
      </c>
      <c r="C391" s="4" t="s">
        <v>358</v>
      </c>
      <c r="D391" s="4">
        <v>4</v>
      </c>
      <c r="E391" s="4">
        <v>1706</v>
      </c>
      <c r="F391" s="4">
        <v>16626458</v>
      </c>
      <c r="G391" s="4">
        <v>3</v>
      </c>
      <c r="H391" s="4">
        <v>2</v>
      </c>
      <c r="I391" s="4" t="s">
        <v>67</v>
      </c>
      <c r="J391" s="4" t="s">
        <v>19</v>
      </c>
      <c r="K391" s="4" t="s">
        <v>36</v>
      </c>
      <c r="L391" s="9">
        <v>45007</v>
      </c>
      <c r="M391" s="9" t="str">
        <f>TEXT(Source_data[[#This Row],[Listing_Date]],"mmm-yy")</f>
        <v>Mar-23</v>
      </c>
      <c r="N391" s="4">
        <f t="shared" si="6"/>
        <v>9745.8722157092616</v>
      </c>
      <c r="O391" s="3" cm="1">
        <f t="array" ref="O391">_xlfn.IFS(AND(K391="Broker",J391="Resale"),F391*0.5,AND(K391="Owner",J391="Resale"),F391*0,AND(K391="Builder",J391="Resale"),F391*0.3,AND(J391="New",K391="Broker"),F391*0.1,AND(J391="New",K391="Owner"),F391*0,AND(J391="New",K391="Builder"),F391*0.5)</f>
        <v>0</v>
      </c>
    </row>
    <row r="392" spans="1:15" x14ac:dyDescent="0.3">
      <c r="A392" s="8" t="s">
        <v>434</v>
      </c>
      <c r="B392" s="4" t="s">
        <v>329</v>
      </c>
      <c r="C392" s="4" t="s">
        <v>351</v>
      </c>
      <c r="D392" s="4">
        <v>1</v>
      </c>
      <c r="E392" s="4">
        <v>664</v>
      </c>
      <c r="F392" s="4">
        <v>4293316</v>
      </c>
      <c r="G392" s="4">
        <v>1</v>
      </c>
      <c r="H392" s="4">
        <v>1</v>
      </c>
      <c r="I392" s="4" t="s">
        <v>27</v>
      </c>
      <c r="J392" s="4" t="s">
        <v>19</v>
      </c>
      <c r="K392" s="4" t="s">
        <v>20</v>
      </c>
      <c r="L392" s="9">
        <v>45781</v>
      </c>
      <c r="M392" s="9" t="str">
        <f>TEXT(Source_data[[#This Row],[Listing_Date]],"mmm-yy")</f>
        <v>May-25</v>
      </c>
      <c r="N392" s="4">
        <f t="shared" si="6"/>
        <v>6465.8373493975905</v>
      </c>
      <c r="O392" s="3" cm="1">
        <f t="array" ref="O392">_xlfn.IFS(AND(K392="Broker",J392="Resale"),F392*0.5,AND(K392="Owner",J392="Resale"),F392*0,AND(K392="Builder",J392="Resale"),F392*0.3,AND(J392="New",K392="Broker"),F392*0.1,AND(J392="New",K392="Owner"),F392*0,AND(J392="New",K392="Builder"),F392*0.5)</f>
        <v>429331.60000000003</v>
      </c>
    </row>
    <row r="393" spans="1:15" x14ac:dyDescent="0.3">
      <c r="A393" s="8" t="s">
        <v>435</v>
      </c>
      <c r="B393" s="4" t="s">
        <v>329</v>
      </c>
      <c r="C393" s="4" t="s">
        <v>351</v>
      </c>
      <c r="D393" s="4">
        <v>3</v>
      </c>
      <c r="E393" s="4">
        <v>1204</v>
      </c>
      <c r="F393" s="4">
        <v>12066956</v>
      </c>
      <c r="G393" s="4">
        <v>2</v>
      </c>
      <c r="H393" s="4">
        <v>2</v>
      </c>
      <c r="I393" s="4" t="s">
        <v>8</v>
      </c>
      <c r="J393" s="4" t="s">
        <v>19</v>
      </c>
      <c r="K393" s="4" t="s">
        <v>24</v>
      </c>
      <c r="L393" s="9">
        <v>45785</v>
      </c>
      <c r="M393" s="9" t="str">
        <f>TEXT(Source_data[[#This Row],[Listing_Date]],"mmm-yy")</f>
        <v>May-25</v>
      </c>
      <c r="N393" s="4">
        <f t="shared" si="6"/>
        <v>10022.388704318937</v>
      </c>
      <c r="O393" s="3" cm="1">
        <f t="array" ref="O393">_xlfn.IFS(AND(K393="Broker",J393="Resale"),F393*0.5,AND(K393="Owner",J393="Resale"),F393*0,AND(K393="Builder",J393="Resale"),F393*0.3,AND(J393="New",K393="Broker"),F393*0.1,AND(J393="New",K393="Owner"),F393*0,AND(J393="New",K393="Builder"),F393*0.5)</f>
        <v>6033478</v>
      </c>
    </row>
    <row r="394" spans="1:15" x14ac:dyDescent="0.3">
      <c r="A394" s="8" t="s">
        <v>436</v>
      </c>
      <c r="B394" s="4" t="s">
        <v>329</v>
      </c>
      <c r="C394" s="4" t="s">
        <v>339</v>
      </c>
      <c r="D394" s="4">
        <v>3</v>
      </c>
      <c r="E394" s="4">
        <v>1629</v>
      </c>
      <c r="F394" s="4">
        <v>14862233</v>
      </c>
      <c r="G394" s="4">
        <v>3</v>
      </c>
      <c r="H394" s="4">
        <v>2</v>
      </c>
      <c r="I394" s="4" t="s">
        <v>18</v>
      </c>
      <c r="J394" s="4" t="s">
        <v>23</v>
      </c>
      <c r="K394" s="4" t="s">
        <v>20</v>
      </c>
      <c r="L394" s="9">
        <v>45474</v>
      </c>
      <c r="M394" s="9" t="str">
        <f>TEXT(Source_data[[#This Row],[Listing_Date]],"mmm-yy")</f>
        <v>Jul-24</v>
      </c>
      <c r="N394" s="4">
        <f t="shared" si="6"/>
        <v>9123.5316144874159</v>
      </c>
      <c r="O394" s="3" cm="1">
        <f t="array" ref="O394">_xlfn.IFS(AND(K394="Broker",J394="Resale"),F394*0.5,AND(K394="Owner",J394="Resale"),F394*0,AND(K394="Builder",J394="Resale"),F394*0.3,AND(J394="New",K394="Broker"),F394*0.1,AND(J394="New",K394="Owner"),F394*0,AND(J394="New",K394="Builder"),F394*0.5)</f>
        <v>7431116.5</v>
      </c>
    </row>
    <row r="395" spans="1:15" x14ac:dyDescent="0.3">
      <c r="A395" s="8" t="s">
        <v>437</v>
      </c>
      <c r="B395" s="4" t="s">
        <v>329</v>
      </c>
      <c r="C395" s="4" t="s">
        <v>358</v>
      </c>
      <c r="D395" s="4">
        <v>3</v>
      </c>
      <c r="E395" s="4">
        <v>1229</v>
      </c>
      <c r="F395" s="4">
        <v>7368922</v>
      </c>
      <c r="G395" s="4">
        <v>2</v>
      </c>
      <c r="H395" s="4">
        <v>1</v>
      </c>
      <c r="I395" s="4" t="s">
        <v>8</v>
      </c>
      <c r="J395" s="4" t="s">
        <v>19</v>
      </c>
      <c r="K395" s="4" t="s">
        <v>36</v>
      </c>
      <c r="L395" s="9">
        <v>45452</v>
      </c>
      <c r="M395" s="9" t="str">
        <f>TEXT(Source_data[[#This Row],[Listing_Date]],"mmm-yy")</f>
        <v>Jun-24</v>
      </c>
      <c r="N395" s="4">
        <f t="shared" si="6"/>
        <v>5995.8681855166806</v>
      </c>
      <c r="O395" s="3" cm="1">
        <f t="array" ref="O395">_xlfn.IFS(AND(K395="Broker",J395="Resale"),F395*0.5,AND(K395="Owner",J395="Resale"),F395*0,AND(K395="Builder",J395="Resale"),F395*0.3,AND(J395="New",K395="Broker"),F395*0.1,AND(J395="New",K395="Owner"),F395*0,AND(J395="New",K395="Builder"),F395*0.5)</f>
        <v>0</v>
      </c>
    </row>
    <row r="396" spans="1:15" x14ac:dyDescent="0.3">
      <c r="A396" s="8" t="s">
        <v>438</v>
      </c>
      <c r="B396" s="4" t="s">
        <v>329</v>
      </c>
      <c r="C396" s="4" t="s">
        <v>332</v>
      </c>
      <c r="D396" s="4">
        <v>3</v>
      </c>
      <c r="E396" s="4">
        <v>1393</v>
      </c>
      <c r="F396" s="4">
        <v>11711541</v>
      </c>
      <c r="G396" s="4">
        <v>4</v>
      </c>
      <c r="H396" s="4">
        <v>3</v>
      </c>
      <c r="I396" s="4" t="s">
        <v>27</v>
      </c>
      <c r="J396" s="4" t="s">
        <v>19</v>
      </c>
      <c r="K396" s="4" t="s">
        <v>36</v>
      </c>
      <c r="L396" s="9">
        <v>45049</v>
      </c>
      <c r="M396" s="9" t="str">
        <f>TEXT(Source_data[[#This Row],[Listing_Date]],"mmm-yy")</f>
        <v>May-23</v>
      </c>
      <c r="N396" s="4">
        <f t="shared" si="6"/>
        <v>8407.4235463029436</v>
      </c>
      <c r="O396" s="3" cm="1">
        <f t="array" ref="O396">_xlfn.IFS(AND(K396="Broker",J396="Resale"),F396*0.5,AND(K396="Owner",J396="Resale"),F396*0,AND(K396="Builder",J396="Resale"),F396*0.3,AND(J396="New",K396="Broker"),F396*0.1,AND(J396="New",K396="Owner"),F396*0,AND(J396="New",K396="Builder"),F396*0.5)</f>
        <v>0</v>
      </c>
    </row>
    <row r="397" spans="1:15" x14ac:dyDescent="0.3">
      <c r="A397" s="8" t="s">
        <v>439</v>
      </c>
      <c r="B397" s="4" t="s">
        <v>329</v>
      </c>
      <c r="C397" s="4" t="s">
        <v>358</v>
      </c>
      <c r="D397" s="4">
        <v>3</v>
      </c>
      <c r="E397" s="4">
        <v>976</v>
      </c>
      <c r="F397" s="4">
        <v>7897822</v>
      </c>
      <c r="G397" s="4">
        <v>3</v>
      </c>
      <c r="H397" s="4">
        <v>2</v>
      </c>
      <c r="I397" s="4" t="s">
        <v>8</v>
      </c>
      <c r="J397" s="4" t="s">
        <v>23</v>
      </c>
      <c r="K397" s="4" t="s">
        <v>20</v>
      </c>
      <c r="L397" s="9">
        <v>45708</v>
      </c>
      <c r="M397" s="9" t="str">
        <f>TEXT(Source_data[[#This Row],[Listing_Date]],"mmm-yy")</f>
        <v>Feb-25</v>
      </c>
      <c r="N397" s="4">
        <f t="shared" si="6"/>
        <v>8092.0307377049185</v>
      </c>
      <c r="O397" s="3" cm="1">
        <f t="array" ref="O397">_xlfn.IFS(AND(K397="Broker",J397="Resale"),F397*0.5,AND(K397="Owner",J397="Resale"),F397*0,AND(K397="Builder",J397="Resale"),F397*0.3,AND(J397="New",K397="Broker"),F397*0.1,AND(J397="New",K397="Owner"),F397*0,AND(J397="New",K397="Builder"),F397*0.5)</f>
        <v>3948911</v>
      </c>
    </row>
    <row r="398" spans="1:15" x14ac:dyDescent="0.3">
      <c r="A398" s="8" t="s">
        <v>440</v>
      </c>
      <c r="B398" s="4" t="s">
        <v>329</v>
      </c>
      <c r="C398" s="4" t="s">
        <v>358</v>
      </c>
      <c r="D398" s="4">
        <v>2</v>
      </c>
      <c r="E398" s="4">
        <v>888</v>
      </c>
      <c r="F398" s="4">
        <v>8025049</v>
      </c>
      <c r="G398" s="4">
        <v>2</v>
      </c>
      <c r="H398" s="4">
        <v>1</v>
      </c>
      <c r="I398" s="4" t="s">
        <v>8</v>
      </c>
      <c r="J398" s="4" t="s">
        <v>23</v>
      </c>
      <c r="K398" s="4" t="s">
        <v>24</v>
      </c>
      <c r="L398" s="9">
        <v>45172</v>
      </c>
      <c r="M398" s="9" t="str">
        <f>TEXT(Source_data[[#This Row],[Listing_Date]],"mmm-yy")</f>
        <v>Sep-23</v>
      </c>
      <c r="N398" s="4">
        <f t="shared" si="6"/>
        <v>9037.2173423423428</v>
      </c>
      <c r="O398" s="3" cm="1">
        <f t="array" ref="O398">_xlfn.IFS(AND(K398="Broker",J398="Resale"),F398*0.5,AND(K398="Owner",J398="Resale"),F398*0,AND(K398="Builder",J398="Resale"),F398*0.3,AND(J398="New",K398="Broker"),F398*0.1,AND(J398="New",K398="Owner"),F398*0,AND(J398="New",K398="Builder"),F398*0.5)</f>
        <v>2407514.6999999997</v>
      </c>
    </row>
    <row r="399" spans="1:15" x14ac:dyDescent="0.3">
      <c r="A399" s="8" t="s">
        <v>441</v>
      </c>
      <c r="B399" s="4" t="s">
        <v>329</v>
      </c>
      <c r="C399" s="4" t="s">
        <v>351</v>
      </c>
      <c r="D399" s="4">
        <v>3</v>
      </c>
      <c r="E399" s="4">
        <v>1181</v>
      </c>
      <c r="F399" s="4">
        <v>9800803</v>
      </c>
      <c r="G399" s="4">
        <v>4</v>
      </c>
      <c r="H399" s="4">
        <v>2</v>
      </c>
      <c r="I399" s="4" t="s">
        <v>18</v>
      </c>
      <c r="J399" s="4" t="s">
        <v>19</v>
      </c>
      <c r="K399" s="4" t="s">
        <v>24</v>
      </c>
      <c r="L399" s="9">
        <v>45073</v>
      </c>
      <c r="M399" s="9" t="str">
        <f>TEXT(Source_data[[#This Row],[Listing_Date]],"mmm-yy")</f>
        <v>May-23</v>
      </c>
      <c r="N399" s="4">
        <f t="shared" si="6"/>
        <v>8298.7324301439457</v>
      </c>
      <c r="O399" s="3" cm="1">
        <f t="array" ref="O399">_xlfn.IFS(AND(K399="Broker",J399="Resale"),F399*0.5,AND(K399="Owner",J399="Resale"),F399*0,AND(K399="Builder",J399="Resale"),F399*0.3,AND(J399="New",K399="Broker"),F399*0.1,AND(J399="New",K399="Owner"),F399*0,AND(J399="New",K399="Builder"),F399*0.5)</f>
        <v>4900401.5</v>
      </c>
    </row>
    <row r="400" spans="1:15" x14ac:dyDescent="0.3">
      <c r="A400" s="8" t="s">
        <v>442</v>
      </c>
      <c r="B400" s="4" t="s">
        <v>329</v>
      </c>
      <c r="C400" s="4" t="s">
        <v>332</v>
      </c>
      <c r="D400" s="4">
        <v>2</v>
      </c>
      <c r="E400" s="4">
        <v>716</v>
      </c>
      <c r="F400" s="4">
        <v>6054948</v>
      </c>
      <c r="G400" s="4">
        <v>2</v>
      </c>
      <c r="H400" s="4">
        <v>2</v>
      </c>
      <c r="I400" s="4" t="s">
        <v>27</v>
      </c>
      <c r="J400" s="4" t="s">
        <v>23</v>
      </c>
      <c r="K400" s="4" t="s">
        <v>24</v>
      </c>
      <c r="L400" s="9">
        <v>45182</v>
      </c>
      <c r="M400" s="9" t="str">
        <f>TEXT(Source_data[[#This Row],[Listing_Date]],"mmm-yy")</f>
        <v>Sep-23</v>
      </c>
      <c r="N400" s="4">
        <f t="shared" si="6"/>
        <v>8456.6312849162005</v>
      </c>
      <c r="O400" s="3" cm="1">
        <f t="array" ref="O400">_xlfn.IFS(AND(K400="Broker",J400="Resale"),F400*0.5,AND(K400="Owner",J400="Resale"),F400*0,AND(K400="Builder",J400="Resale"),F400*0.3,AND(J400="New",K400="Broker"),F400*0.1,AND(J400="New",K400="Owner"),F400*0,AND(J400="New",K400="Builder"),F400*0.5)</f>
        <v>1816484.4</v>
      </c>
    </row>
    <row r="401" spans="1:15" x14ac:dyDescent="0.3">
      <c r="A401" s="8" t="s">
        <v>443</v>
      </c>
      <c r="B401" s="4" t="s">
        <v>329</v>
      </c>
      <c r="C401" s="4" t="s">
        <v>358</v>
      </c>
      <c r="D401" s="4">
        <v>3</v>
      </c>
      <c r="E401" s="4">
        <v>1294</v>
      </c>
      <c r="F401" s="4">
        <v>9165461</v>
      </c>
      <c r="G401" s="4">
        <v>3</v>
      </c>
      <c r="H401" s="4">
        <v>1</v>
      </c>
      <c r="I401" s="4" t="s">
        <v>18</v>
      </c>
      <c r="J401" s="4" t="s">
        <v>19</v>
      </c>
      <c r="K401" s="4" t="s">
        <v>24</v>
      </c>
      <c r="L401" s="9">
        <v>45631</v>
      </c>
      <c r="M401" s="9" t="str">
        <f>TEXT(Source_data[[#This Row],[Listing_Date]],"mmm-yy")</f>
        <v>Dec-24</v>
      </c>
      <c r="N401" s="4">
        <f t="shared" si="6"/>
        <v>7083.0455950540954</v>
      </c>
      <c r="O401" s="3" cm="1">
        <f t="array" ref="O401">_xlfn.IFS(AND(K401="Broker",J401="Resale"),F401*0.5,AND(K401="Owner",J401="Resale"),F401*0,AND(K401="Builder",J401="Resale"),F401*0.3,AND(J401="New",K401="Broker"),F401*0.1,AND(J401="New",K401="Owner"),F401*0,AND(J401="New",K401="Builder"),F401*0.5)</f>
        <v>4582730.5</v>
      </c>
    </row>
    <row r="402" spans="1:15" x14ac:dyDescent="0.3">
      <c r="A402" s="8" t="s">
        <v>444</v>
      </c>
      <c r="B402" s="4" t="s">
        <v>329</v>
      </c>
      <c r="C402" s="4" t="s">
        <v>358</v>
      </c>
      <c r="D402" s="4">
        <v>3</v>
      </c>
      <c r="E402" s="4">
        <v>1704</v>
      </c>
      <c r="F402" s="4">
        <v>13612871</v>
      </c>
      <c r="G402" s="4">
        <v>3</v>
      </c>
      <c r="H402" s="4">
        <v>4</v>
      </c>
      <c r="I402" s="4" t="s">
        <v>18</v>
      </c>
      <c r="J402" s="4" t="s">
        <v>23</v>
      </c>
      <c r="K402" s="4" t="s">
        <v>36</v>
      </c>
      <c r="L402" s="9">
        <v>45215</v>
      </c>
      <c r="M402" s="9" t="str">
        <f>TEXT(Source_data[[#This Row],[Listing_Date]],"mmm-yy")</f>
        <v>Oct-23</v>
      </c>
      <c r="N402" s="4">
        <f t="shared" si="6"/>
        <v>7988.7740610328638</v>
      </c>
      <c r="O402" s="3" cm="1">
        <f t="array" ref="O402">_xlfn.IFS(AND(K402="Broker",J402="Resale"),F402*0.5,AND(K402="Owner",J402="Resale"),F402*0,AND(K402="Builder",J402="Resale"),F402*0.3,AND(J402="New",K402="Broker"),F402*0.1,AND(J402="New",K402="Owner"),F402*0,AND(J402="New",K402="Builder"),F402*0.5)</f>
        <v>0</v>
      </c>
    </row>
    <row r="403" spans="1:15" x14ac:dyDescent="0.3">
      <c r="A403" s="8" t="s">
        <v>445</v>
      </c>
      <c r="B403" s="4" t="s">
        <v>329</v>
      </c>
      <c r="C403" s="4" t="s">
        <v>330</v>
      </c>
      <c r="D403" s="4">
        <v>3</v>
      </c>
      <c r="E403" s="4">
        <v>1629</v>
      </c>
      <c r="F403" s="4">
        <v>12910714</v>
      </c>
      <c r="G403" s="4">
        <v>3</v>
      </c>
      <c r="H403" s="4">
        <v>2</v>
      </c>
      <c r="I403" s="4" t="s">
        <v>18</v>
      </c>
      <c r="J403" s="4" t="s">
        <v>23</v>
      </c>
      <c r="K403" s="4" t="s">
        <v>20</v>
      </c>
      <c r="L403" s="9">
        <v>45626</v>
      </c>
      <c r="M403" s="9" t="str">
        <f>TEXT(Source_data[[#This Row],[Listing_Date]],"mmm-yy")</f>
        <v>Nov-24</v>
      </c>
      <c r="N403" s="4">
        <f t="shared" si="6"/>
        <v>7925.5457335788824</v>
      </c>
      <c r="O403" s="3" cm="1">
        <f t="array" ref="O403">_xlfn.IFS(AND(K403="Broker",J403="Resale"),F403*0.5,AND(K403="Owner",J403="Resale"),F403*0,AND(K403="Builder",J403="Resale"),F403*0.3,AND(J403="New",K403="Broker"),F403*0.1,AND(J403="New",K403="Owner"),F403*0,AND(J403="New",K403="Builder"),F403*0.5)</f>
        <v>6455357</v>
      </c>
    </row>
    <row r="404" spans="1:15" x14ac:dyDescent="0.3">
      <c r="A404" s="8" t="s">
        <v>446</v>
      </c>
      <c r="B404" s="4" t="s">
        <v>329</v>
      </c>
      <c r="C404" s="4" t="s">
        <v>351</v>
      </c>
      <c r="D404" s="4">
        <v>2</v>
      </c>
      <c r="E404" s="4">
        <v>956</v>
      </c>
      <c r="F404" s="4">
        <v>10495983</v>
      </c>
      <c r="G404" s="4">
        <v>2</v>
      </c>
      <c r="H404" s="4">
        <v>3</v>
      </c>
      <c r="I404" s="4" t="s">
        <v>8</v>
      </c>
      <c r="J404" s="4" t="s">
        <v>23</v>
      </c>
      <c r="K404" s="4" t="s">
        <v>36</v>
      </c>
      <c r="L404" s="9">
        <v>45085</v>
      </c>
      <c r="M404" s="9" t="str">
        <f>TEXT(Source_data[[#This Row],[Listing_Date]],"mmm-yy")</f>
        <v>Jun-23</v>
      </c>
      <c r="N404" s="4">
        <f t="shared" si="6"/>
        <v>10979.061715481172</v>
      </c>
      <c r="O404" s="3" cm="1">
        <f t="array" ref="O404">_xlfn.IFS(AND(K404="Broker",J404="Resale"),F404*0.5,AND(K404="Owner",J404="Resale"),F404*0,AND(K404="Builder",J404="Resale"),F404*0.3,AND(J404="New",K404="Broker"),F404*0.1,AND(J404="New",K404="Owner"),F404*0,AND(J404="New",K404="Builder"),F404*0.5)</f>
        <v>0</v>
      </c>
    </row>
    <row r="405" spans="1:15" x14ac:dyDescent="0.3">
      <c r="A405" s="8" t="s">
        <v>447</v>
      </c>
      <c r="B405" s="4" t="s">
        <v>329</v>
      </c>
      <c r="C405" s="4" t="s">
        <v>330</v>
      </c>
      <c r="D405" s="4">
        <v>3</v>
      </c>
      <c r="E405" s="4">
        <v>1200</v>
      </c>
      <c r="F405" s="4">
        <v>11381041</v>
      </c>
      <c r="G405" s="4">
        <v>3</v>
      </c>
      <c r="H405" s="4">
        <v>2</v>
      </c>
      <c r="I405" s="4" t="s">
        <v>27</v>
      </c>
      <c r="J405" s="4" t="s">
        <v>19</v>
      </c>
      <c r="K405" s="4" t="s">
        <v>24</v>
      </c>
      <c r="L405" s="9">
        <v>45733</v>
      </c>
      <c r="M405" s="9" t="str">
        <f>TEXT(Source_data[[#This Row],[Listing_Date]],"mmm-yy")</f>
        <v>Mar-25</v>
      </c>
      <c r="N405" s="4">
        <f t="shared" si="6"/>
        <v>9484.2008333333342</v>
      </c>
      <c r="O405" s="3" cm="1">
        <f t="array" ref="O405">_xlfn.IFS(AND(K405="Broker",J405="Resale"),F405*0.5,AND(K405="Owner",J405="Resale"),F405*0,AND(K405="Builder",J405="Resale"),F405*0.3,AND(J405="New",K405="Broker"),F405*0.1,AND(J405="New",K405="Owner"),F405*0,AND(J405="New",K405="Builder"),F405*0.5)</f>
        <v>5690520.5</v>
      </c>
    </row>
    <row r="406" spans="1:15" x14ac:dyDescent="0.3">
      <c r="A406" s="8" t="s">
        <v>448</v>
      </c>
      <c r="B406" s="4" t="s">
        <v>329</v>
      </c>
      <c r="C406" s="4" t="s">
        <v>336</v>
      </c>
      <c r="D406" s="4">
        <v>3</v>
      </c>
      <c r="E406" s="4">
        <v>1191</v>
      </c>
      <c r="F406" s="4">
        <v>12452689</v>
      </c>
      <c r="G406" s="4">
        <v>3</v>
      </c>
      <c r="H406" s="4">
        <v>1</v>
      </c>
      <c r="I406" s="4" t="s">
        <v>8</v>
      </c>
      <c r="J406" s="4" t="s">
        <v>19</v>
      </c>
      <c r="K406" s="4" t="s">
        <v>24</v>
      </c>
      <c r="L406" s="9">
        <v>45257</v>
      </c>
      <c r="M406" s="9" t="str">
        <f>TEXT(Source_data[[#This Row],[Listing_Date]],"mmm-yy")</f>
        <v>Nov-23</v>
      </c>
      <c r="N406" s="4">
        <f t="shared" si="6"/>
        <v>10455.658270361042</v>
      </c>
      <c r="O406" s="3" cm="1">
        <f t="array" ref="O406">_xlfn.IFS(AND(K406="Broker",J406="Resale"),F406*0.5,AND(K406="Owner",J406="Resale"),F406*0,AND(K406="Builder",J406="Resale"),F406*0.3,AND(J406="New",K406="Broker"),F406*0.1,AND(J406="New",K406="Owner"),F406*0,AND(J406="New",K406="Builder"),F406*0.5)</f>
        <v>6226344.5</v>
      </c>
    </row>
    <row r="407" spans="1:15" x14ac:dyDescent="0.3">
      <c r="A407" s="8" t="s">
        <v>449</v>
      </c>
      <c r="B407" s="4" t="s">
        <v>329</v>
      </c>
      <c r="C407" s="4" t="s">
        <v>330</v>
      </c>
      <c r="D407" s="4">
        <v>3</v>
      </c>
      <c r="E407" s="4">
        <v>2123</v>
      </c>
      <c r="F407" s="4">
        <v>15521818</v>
      </c>
      <c r="G407" s="4">
        <v>3</v>
      </c>
      <c r="H407" s="4">
        <v>2</v>
      </c>
      <c r="I407" s="4" t="s">
        <v>27</v>
      </c>
      <c r="J407" s="4" t="s">
        <v>23</v>
      </c>
      <c r="K407" s="4" t="s">
        <v>20</v>
      </c>
      <c r="L407" s="9">
        <v>45542</v>
      </c>
      <c r="M407" s="9" t="str">
        <f>TEXT(Source_data[[#This Row],[Listing_Date]],"mmm-yy")</f>
        <v>Sep-24</v>
      </c>
      <c r="N407" s="4">
        <f t="shared" si="6"/>
        <v>7311.2661328308996</v>
      </c>
      <c r="O407" s="3" cm="1">
        <f t="array" ref="O407">_xlfn.IFS(AND(K407="Broker",J407="Resale"),F407*0.5,AND(K407="Owner",J407="Resale"),F407*0,AND(K407="Builder",J407="Resale"),F407*0.3,AND(J407="New",K407="Broker"),F407*0.1,AND(J407="New",K407="Owner"),F407*0,AND(J407="New",K407="Builder"),F407*0.5)</f>
        <v>7760909</v>
      </c>
    </row>
    <row r="408" spans="1:15" x14ac:dyDescent="0.3">
      <c r="A408" s="8" t="s">
        <v>450</v>
      </c>
      <c r="B408" s="4" t="s">
        <v>329</v>
      </c>
      <c r="C408" s="4" t="s">
        <v>332</v>
      </c>
      <c r="D408" s="4">
        <v>3</v>
      </c>
      <c r="E408" s="4">
        <v>1683</v>
      </c>
      <c r="F408" s="4">
        <v>12684192</v>
      </c>
      <c r="G408" s="4">
        <v>4</v>
      </c>
      <c r="H408" s="4">
        <v>1</v>
      </c>
      <c r="I408" s="4" t="s">
        <v>18</v>
      </c>
      <c r="J408" s="4" t="s">
        <v>19</v>
      </c>
      <c r="K408" s="4" t="s">
        <v>24</v>
      </c>
      <c r="L408" s="9">
        <v>45703</v>
      </c>
      <c r="M408" s="9" t="str">
        <f>TEXT(Source_data[[#This Row],[Listing_Date]],"mmm-yy")</f>
        <v>Feb-25</v>
      </c>
      <c r="N408" s="4">
        <f t="shared" si="6"/>
        <v>7536.6559714795012</v>
      </c>
      <c r="O408" s="3" cm="1">
        <f t="array" ref="O408">_xlfn.IFS(AND(K408="Broker",J408="Resale"),F408*0.5,AND(K408="Owner",J408="Resale"),F408*0,AND(K408="Builder",J408="Resale"),F408*0.3,AND(J408="New",K408="Broker"),F408*0.1,AND(J408="New",K408="Owner"),F408*0,AND(J408="New",K408="Builder"),F408*0.5)</f>
        <v>6342096</v>
      </c>
    </row>
    <row r="409" spans="1:15" x14ac:dyDescent="0.3">
      <c r="A409" s="8" t="s">
        <v>451</v>
      </c>
      <c r="B409" s="4" t="s">
        <v>329</v>
      </c>
      <c r="C409" s="4" t="s">
        <v>351</v>
      </c>
      <c r="D409" s="4">
        <v>2</v>
      </c>
      <c r="E409" s="4">
        <v>1013</v>
      </c>
      <c r="F409" s="4">
        <v>5217547</v>
      </c>
      <c r="G409" s="4">
        <v>2</v>
      </c>
      <c r="H409" s="4">
        <v>3</v>
      </c>
      <c r="I409" s="4" t="s">
        <v>18</v>
      </c>
      <c r="J409" s="4" t="s">
        <v>19</v>
      </c>
      <c r="K409" s="4" t="s">
        <v>36</v>
      </c>
      <c r="L409" s="9">
        <v>45070</v>
      </c>
      <c r="M409" s="9" t="str">
        <f>TEXT(Source_data[[#This Row],[Listing_Date]],"mmm-yy")</f>
        <v>May-23</v>
      </c>
      <c r="N409" s="4">
        <f t="shared" si="6"/>
        <v>5150.5893385982235</v>
      </c>
      <c r="O409" s="3" cm="1">
        <f t="array" ref="O409">_xlfn.IFS(AND(K409="Broker",J409="Resale"),F409*0.5,AND(K409="Owner",J409="Resale"),F409*0,AND(K409="Builder",J409="Resale"),F409*0.3,AND(J409="New",K409="Broker"),F409*0.1,AND(J409="New",K409="Owner"),F409*0,AND(J409="New",K409="Builder"),F409*0.5)</f>
        <v>0</v>
      </c>
    </row>
    <row r="410" spans="1:15" x14ac:dyDescent="0.3">
      <c r="A410" s="8" t="s">
        <v>452</v>
      </c>
      <c r="B410" s="4" t="s">
        <v>329</v>
      </c>
      <c r="C410" s="4" t="s">
        <v>339</v>
      </c>
      <c r="D410" s="4">
        <v>3</v>
      </c>
      <c r="E410" s="4">
        <v>1261</v>
      </c>
      <c r="F410" s="4">
        <v>8805817</v>
      </c>
      <c r="G410" s="4">
        <v>3</v>
      </c>
      <c r="H410" s="4">
        <v>2</v>
      </c>
      <c r="I410" s="4" t="s">
        <v>8</v>
      </c>
      <c r="J410" s="4" t="s">
        <v>19</v>
      </c>
      <c r="K410" s="4" t="s">
        <v>20</v>
      </c>
      <c r="L410" s="9">
        <v>45323</v>
      </c>
      <c r="M410" s="9" t="str">
        <f>TEXT(Source_data[[#This Row],[Listing_Date]],"mmm-yy")</f>
        <v>Feb-24</v>
      </c>
      <c r="N410" s="4">
        <f t="shared" si="6"/>
        <v>6983.201427438541</v>
      </c>
      <c r="O410" s="3" cm="1">
        <f t="array" ref="O410">_xlfn.IFS(AND(K410="Broker",J410="Resale"),F410*0.5,AND(K410="Owner",J410="Resale"),F410*0,AND(K410="Builder",J410="Resale"),F410*0.3,AND(J410="New",K410="Broker"),F410*0.1,AND(J410="New",K410="Owner"),F410*0,AND(J410="New",K410="Builder"),F410*0.5)</f>
        <v>880581.70000000007</v>
      </c>
    </row>
    <row r="411" spans="1:15" x14ac:dyDescent="0.3">
      <c r="A411" s="8" t="s">
        <v>453</v>
      </c>
      <c r="B411" s="4" t="s">
        <v>329</v>
      </c>
      <c r="C411" s="4" t="s">
        <v>339</v>
      </c>
      <c r="D411" s="4">
        <v>2</v>
      </c>
      <c r="E411" s="4">
        <v>724</v>
      </c>
      <c r="F411" s="4">
        <v>3950542</v>
      </c>
      <c r="G411" s="4">
        <v>2</v>
      </c>
      <c r="H411" s="4">
        <v>2</v>
      </c>
      <c r="I411" s="4" t="s">
        <v>8</v>
      </c>
      <c r="J411" s="4" t="s">
        <v>23</v>
      </c>
      <c r="K411" s="4" t="s">
        <v>20</v>
      </c>
      <c r="L411" s="9">
        <v>45730</v>
      </c>
      <c r="M411" s="9" t="str">
        <f>TEXT(Source_data[[#This Row],[Listing_Date]],"mmm-yy")</f>
        <v>Mar-25</v>
      </c>
      <c r="N411" s="4">
        <f t="shared" si="6"/>
        <v>5456.5497237569061</v>
      </c>
      <c r="O411" s="3" cm="1">
        <f t="array" ref="O411">_xlfn.IFS(AND(K411="Broker",J411="Resale"),F411*0.5,AND(K411="Owner",J411="Resale"),F411*0,AND(K411="Builder",J411="Resale"),F411*0.3,AND(J411="New",K411="Broker"),F411*0.1,AND(J411="New",K411="Owner"),F411*0,AND(J411="New",K411="Builder"),F411*0.5)</f>
        <v>1975271</v>
      </c>
    </row>
    <row r="412" spans="1:15" x14ac:dyDescent="0.3">
      <c r="A412" s="8" t="s">
        <v>454</v>
      </c>
      <c r="B412" s="4" t="s">
        <v>329</v>
      </c>
      <c r="C412" s="4" t="s">
        <v>351</v>
      </c>
      <c r="D412" s="4">
        <v>2</v>
      </c>
      <c r="E412" s="4">
        <v>843</v>
      </c>
      <c r="F412" s="4">
        <v>6863062</v>
      </c>
      <c r="G412" s="4">
        <v>2</v>
      </c>
      <c r="H412" s="4">
        <v>1</v>
      </c>
      <c r="I412" s="4" t="s">
        <v>27</v>
      </c>
      <c r="J412" s="4" t="s">
        <v>23</v>
      </c>
      <c r="K412" s="4" t="s">
        <v>36</v>
      </c>
      <c r="L412" s="9">
        <v>44940</v>
      </c>
      <c r="M412" s="9" t="str">
        <f>TEXT(Source_data[[#This Row],[Listing_Date]],"mmm-yy")</f>
        <v>Jan-23</v>
      </c>
      <c r="N412" s="4">
        <f t="shared" si="6"/>
        <v>8141.2360616844599</v>
      </c>
      <c r="O412" s="3" cm="1">
        <f t="array" ref="O412">_xlfn.IFS(AND(K412="Broker",J412="Resale"),F412*0.5,AND(K412="Owner",J412="Resale"),F412*0,AND(K412="Builder",J412="Resale"),F412*0.3,AND(J412="New",K412="Broker"),F412*0.1,AND(J412="New",K412="Owner"),F412*0,AND(J412="New",K412="Builder"),F412*0.5)</f>
        <v>0</v>
      </c>
    </row>
    <row r="413" spans="1:15" x14ac:dyDescent="0.3">
      <c r="A413" s="8" t="s">
        <v>455</v>
      </c>
      <c r="B413" s="4" t="s">
        <v>329</v>
      </c>
      <c r="C413" s="4" t="s">
        <v>358</v>
      </c>
      <c r="D413" s="4">
        <v>4</v>
      </c>
      <c r="E413" s="4">
        <v>2050</v>
      </c>
      <c r="F413" s="4">
        <v>14901662</v>
      </c>
      <c r="G413" s="4">
        <v>3</v>
      </c>
      <c r="H413" s="4">
        <v>2</v>
      </c>
      <c r="I413" s="4" t="s">
        <v>27</v>
      </c>
      <c r="J413" s="4" t="s">
        <v>19</v>
      </c>
      <c r="K413" s="4" t="s">
        <v>36</v>
      </c>
      <c r="L413" s="9">
        <v>45211</v>
      </c>
      <c r="M413" s="9" t="str">
        <f>TEXT(Source_data[[#This Row],[Listing_Date]],"mmm-yy")</f>
        <v>Oct-23</v>
      </c>
      <c r="N413" s="4">
        <f t="shared" si="6"/>
        <v>7269.1034146341462</v>
      </c>
      <c r="O413" s="3" cm="1">
        <f t="array" ref="O413">_xlfn.IFS(AND(K413="Broker",J413="Resale"),F413*0.5,AND(K413="Owner",J413="Resale"),F413*0,AND(K413="Builder",J413="Resale"),F413*0.3,AND(J413="New",K413="Broker"),F413*0.1,AND(J413="New",K413="Owner"),F413*0,AND(J413="New",K413="Builder"),F413*0.5)</f>
        <v>0</v>
      </c>
    </row>
    <row r="414" spans="1:15" x14ac:dyDescent="0.3">
      <c r="A414" s="8" t="s">
        <v>456</v>
      </c>
      <c r="B414" s="4" t="s">
        <v>329</v>
      </c>
      <c r="C414" s="4" t="s">
        <v>339</v>
      </c>
      <c r="D414" s="4">
        <v>2</v>
      </c>
      <c r="E414" s="4">
        <v>894</v>
      </c>
      <c r="F414" s="4">
        <v>5894703</v>
      </c>
      <c r="G414" s="4">
        <v>2</v>
      </c>
      <c r="H414" s="4">
        <v>2</v>
      </c>
      <c r="I414" s="4" t="s">
        <v>27</v>
      </c>
      <c r="J414" s="4" t="s">
        <v>23</v>
      </c>
      <c r="K414" s="4" t="s">
        <v>24</v>
      </c>
      <c r="L414" s="9">
        <v>44985</v>
      </c>
      <c r="M414" s="9" t="str">
        <f>TEXT(Source_data[[#This Row],[Listing_Date]],"mmm-yy")</f>
        <v>Feb-23</v>
      </c>
      <c r="N414" s="4">
        <f t="shared" si="6"/>
        <v>6593.6275167785234</v>
      </c>
      <c r="O414" s="3" cm="1">
        <f t="array" ref="O414">_xlfn.IFS(AND(K414="Broker",J414="Resale"),F414*0.5,AND(K414="Owner",J414="Resale"),F414*0,AND(K414="Builder",J414="Resale"),F414*0.3,AND(J414="New",K414="Broker"),F414*0.1,AND(J414="New",K414="Owner"),F414*0,AND(J414="New",K414="Builder"),F414*0.5)</f>
        <v>1768410.9</v>
      </c>
    </row>
    <row r="415" spans="1:15" x14ac:dyDescent="0.3">
      <c r="A415" s="8" t="s">
        <v>457</v>
      </c>
      <c r="B415" s="4" t="s">
        <v>329</v>
      </c>
      <c r="C415" s="4" t="s">
        <v>351</v>
      </c>
      <c r="D415" s="4">
        <v>3</v>
      </c>
      <c r="E415" s="4">
        <v>1594</v>
      </c>
      <c r="F415" s="4">
        <v>11624870</v>
      </c>
      <c r="G415" s="4">
        <v>4</v>
      </c>
      <c r="H415" s="4">
        <v>3</v>
      </c>
      <c r="I415" s="4" t="s">
        <v>18</v>
      </c>
      <c r="J415" s="4" t="s">
        <v>23</v>
      </c>
      <c r="K415" s="4" t="s">
        <v>20</v>
      </c>
      <c r="L415" s="9">
        <v>45903</v>
      </c>
      <c r="M415" s="9" t="str">
        <f>TEXT(Source_data[[#This Row],[Listing_Date]],"mmm-yy")</f>
        <v>Sep-25</v>
      </c>
      <c r="N415" s="4">
        <f t="shared" si="6"/>
        <v>7292.8920953575907</v>
      </c>
      <c r="O415" s="3" cm="1">
        <f t="array" ref="O415">_xlfn.IFS(AND(K415="Broker",J415="Resale"),F415*0.5,AND(K415="Owner",J415="Resale"),F415*0,AND(K415="Builder",J415="Resale"),F415*0.3,AND(J415="New",K415="Broker"),F415*0.1,AND(J415="New",K415="Owner"),F415*0,AND(J415="New",K415="Builder"),F415*0.5)</f>
        <v>5812435</v>
      </c>
    </row>
    <row r="416" spans="1:15" x14ac:dyDescent="0.3">
      <c r="A416" s="8" t="s">
        <v>458</v>
      </c>
      <c r="B416" s="4" t="s">
        <v>329</v>
      </c>
      <c r="C416" s="4" t="s">
        <v>336</v>
      </c>
      <c r="D416" s="4">
        <v>3</v>
      </c>
      <c r="E416" s="4">
        <v>1650</v>
      </c>
      <c r="F416" s="4">
        <v>14387769</v>
      </c>
      <c r="G416" s="4">
        <v>2</v>
      </c>
      <c r="H416" s="4">
        <v>2</v>
      </c>
      <c r="I416" s="4" t="s">
        <v>27</v>
      </c>
      <c r="J416" s="4" t="s">
        <v>19</v>
      </c>
      <c r="K416" s="4" t="s">
        <v>20</v>
      </c>
      <c r="L416" s="9">
        <v>45369</v>
      </c>
      <c r="M416" s="9" t="str">
        <f>TEXT(Source_data[[#This Row],[Listing_Date]],"mmm-yy")</f>
        <v>Mar-24</v>
      </c>
      <c r="N416" s="4">
        <f t="shared" si="6"/>
        <v>8719.86</v>
      </c>
      <c r="O416" s="3" cm="1">
        <f t="array" ref="O416">_xlfn.IFS(AND(K416="Broker",J416="Resale"),F416*0.5,AND(K416="Owner",J416="Resale"),F416*0,AND(K416="Builder",J416="Resale"),F416*0.3,AND(J416="New",K416="Broker"),F416*0.1,AND(J416="New",K416="Owner"),F416*0,AND(J416="New",K416="Builder"),F416*0.5)</f>
        <v>1438776.9000000001</v>
      </c>
    </row>
    <row r="417" spans="1:15" x14ac:dyDescent="0.3">
      <c r="A417" s="8" t="s">
        <v>459</v>
      </c>
      <c r="B417" s="4" t="s">
        <v>329</v>
      </c>
      <c r="C417" s="4" t="s">
        <v>330</v>
      </c>
      <c r="D417" s="4">
        <v>3</v>
      </c>
      <c r="E417" s="4">
        <v>662</v>
      </c>
      <c r="F417" s="4">
        <v>6158215</v>
      </c>
      <c r="G417" s="4">
        <v>2</v>
      </c>
      <c r="H417" s="4">
        <v>3</v>
      </c>
      <c r="I417" s="4" t="s">
        <v>18</v>
      </c>
      <c r="J417" s="4" t="s">
        <v>23</v>
      </c>
      <c r="K417" s="4" t="s">
        <v>36</v>
      </c>
      <c r="L417" s="9">
        <v>45041</v>
      </c>
      <c r="M417" s="9" t="str">
        <f>TEXT(Source_data[[#This Row],[Listing_Date]],"mmm-yy")</f>
        <v>Apr-23</v>
      </c>
      <c r="N417" s="4">
        <f t="shared" si="6"/>
        <v>9302.4395770392748</v>
      </c>
      <c r="O417" s="3" cm="1">
        <f t="array" ref="O417">_xlfn.IFS(AND(K417="Broker",J417="Resale"),F417*0.5,AND(K417="Owner",J417="Resale"),F417*0,AND(K417="Builder",J417="Resale"),F417*0.3,AND(J417="New",K417="Broker"),F417*0.1,AND(J417="New",K417="Owner"),F417*0,AND(J417="New",K417="Builder"),F417*0.5)</f>
        <v>0</v>
      </c>
    </row>
    <row r="418" spans="1:15" x14ac:dyDescent="0.3">
      <c r="A418" s="8" t="s">
        <v>460</v>
      </c>
      <c r="B418" s="4" t="s">
        <v>329</v>
      </c>
      <c r="C418" s="4" t="s">
        <v>339</v>
      </c>
      <c r="D418" s="4">
        <v>4</v>
      </c>
      <c r="E418" s="4">
        <v>1876</v>
      </c>
      <c r="F418" s="4">
        <v>14069958</v>
      </c>
      <c r="G418" s="4">
        <v>3</v>
      </c>
      <c r="H418" s="4">
        <v>3</v>
      </c>
      <c r="I418" s="4" t="s">
        <v>8</v>
      </c>
      <c r="J418" s="4" t="s">
        <v>23</v>
      </c>
      <c r="K418" s="4" t="s">
        <v>36</v>
      </c>
      <c r="L418" s="9">
        <v>45397</v>
      </c>
      <c r="M418" s="9" t="str">
        <f>TEXT(Source_data[[#This Row],[Listing_Date]],"mmm-yy")</f>
        <v>Apr-24</v>
      </c>
      <c r="N418" s="4">
        <f t="shared" si="6"/>
        <v>7499.9776119402986</v>
      </c>
      <c r="O418" s="3" cm="1">
        <f t="array" ref="O418">_xlfn.IFS(AND(K418="Broker",J418="Resale"),F418*0.5,AND(K418="Owner",J418="Resale"),F418*0,AND(K418="Builder",J418="Resale"),F418*0.3,AND(J418="New",K418="Broker"),F418*0.1,AND(J418="New",K418="Owner"),F418*0,AND(J418="New",K418="Builder"),F418*0.5)</f>
        <v>0</v>
      </c>
    </row>
    <row r="419" spans="1:15" x14ac:dyDescent="0.3">
      <c r="A419" s="8" t="s">
        <v>461</v>
      </c>
      <c r="B419" s="4" t="s">
        <v>329</v>
      </c>
      <c r="C419" s="4" t="s">
        <v>330</v>
      </c>
      <c r="D419" s="4">
        <v>3</v>
      </c>
      <c r="E419" s="4">
        <v>1279</v>
      </c>
      <c r="F419" s="4">
        <v>7098899</v>
      </c>
      <c r="G419" s="4">
        <v>3</v>
      </c>
      <c r="H419" s="4">
        <v>1</v>
      </c>
      <c r="I419" s="4" t="s">
        <v>8</v>
      </c>
      <c r="J419" s="4" t="s">
        <v>19</v>
      </c>
      <c r="K419" s="4" t="s">
        <v>20</v>
      </c>
      <c r="L419" s="9">
        <v>45810</v>
      </c>
      <c r="M419" s="9" t="str">
        <f>TEXT(Source_data[[#This Row],[Listing_Date]],"mmm-yy")</f>
        <v>Jun-25</v>
      </c>
      <c r="N419" s="4">
        <f t="shared" si="6"/>
        <v>5550.3510555121193</v>
      </c>
      <c r="O419" s="3" cm="1">
        <f t="array" ref="O419">_xlfn.IFS(AND(K419="Broker",J419="Resale"),F419*0.5,AND(K419="Owner",J419="Resale"),F419*0,AND(K419="Builder",J419="Resale"),F419*0.3,AND(J419="New",K419="Broker"),F419*0.1,AND(J419="New",K419="Owner"),F419*0,AND(J419="New",K419="Builder"),F419*0.5)</f>
        <v>709889.9</v>
      </c>
    </row>
    <row r="420" spans="1:15" x14ac:dyDescent="0.3">
      <c r="A420" s="8" t="s">
        <v>462</v>
      </c>
      <c r="B420" s="4" t="s">
        <v>329</v>
      </c>
      <c r="C420" s="4" t="s">
        <v>351</v>
      </c>
      <c r="D420" s="4">
        <v>2</v>
      </c>
      <c r="E420" s="4">
        <v>903</v>
      </c>
      <c r="F420" s="4">
        <v>8874324</v>
      </c>
      <c r="G420" s="4">
        <v>2</v>
      </c>
      <c r="H420" s="4">
        <v>3</v>
      </c>
      <c r="I420" s="4" t="s">
        <v>27</v>
      </c>
      <c r="J420" s="4" t="s">
        <v>23</v>
      </c>
      <c r="K420" s="4" t="s">
        <v>24</v>
      </c>
      <c r="L420" s="9">
        <v>45256</v>
      </c>
      <c r="M420" s="9" t="str">
        <f>TEXT(Source_data[[#This Row],[Listing_Date]],"mmm-yy")</f>
        <v>Nov-23</v>
      </c>
      <c r="N420" s="4">
        <f t="shared" si="6"/>
        <v>9827.6013289036546</v>
      </c>
      <c r="O420" s="3" cm="1">
        <f t="array" ref="O420">_xlfn.IFS(AND(K420="Broker",J420="Resale"),F420*0.5,AND(K420="Owner",J420="Resale"),F420*0,AND(K420="Builder",J420="Resale"),F420*0.3,AND(J420="New",K420="Broker"),F420*0.1,AND(J420="New",K420="Owner"),F420*0,AND(J420="New",K420="Builder"),F420*0.5)</f>
        <v>2662297.1999999997</v>
      </c>
    </row>
    <row r="421" spans="1:15" x14ac:dyDescent="0.3">
      <c r="A421" s="8" t="s">
        <v>463</v>
      </c>
      <c r="B421" s="4" t="s">
        <v>329</v>
      </c>
      <c r="C421" s="4" t="s">
        <v>351</v>
      </c>
      <c r="D421" s="4">
        <v>2</v>
      </c>
      <c r="E421" s="4">
        <v>915</v>
      </c>
      <c r="F421" s="4">
        <v>7332126</v>
      </c>
      <c r="G421" s="4">
        <v>2</v>
      </c>
      <c r="H421" s="4">
        <v>3</v>
      </c>
      <c r="I421" s="4" t="s">
        <v>8</v>
      </c>
      <c r="J421" s="4" t="s">
        <v>23</v>
      </c>
      <c r="K421" s="4" t="s">
        <v>20</v>
      </c>
      <c r="L421" s="9">
        <v>45804</v>
      </c>
      <c r="M421" s="9" t="str">
        <f>TEXT(Source_data[[#This Row],[Listing_Date]],"mmm-yy")</f>
        <v>May-25</v>
      </c>
      <c r="N421" s="4">
        <f t="shared" si="6"/>
        <v>8013.252459016393</v>
      </c>
      <c r="O421" s="3" cm="1">
        <f t="array" ref="O421">_xlfn.IFS(AND(K421="Broker",J421="Resale"),F421*0.5,AND(K421="Owner",J421="Resale"),F421*0,AND(K421="Builder",J421="Resale"),F421*0.3,AND(J421="New",K421="Broker"),F421*0.1,AND(J421="New",K421="Owner"),F421*0,AND(J421="New",K421="Builder"),F421*0.5)</f>
        <v>3666063</v>
      </c>
    </row>
    <row r="422" spans="1:15" x14ac:dyDescent="0.3">
      <c r="A422" s="8" t="s">
        <v>464</v>
      </c>
      <c r="B422" s="4" t="s">
        <v>329</v>
      </c>
      <c r="C422" s="4" t="s">
        <v>336</v>
      </c>
      <c r="D422" s="4">
        <v>3</v>
      </c>
      <c r="E422" s="4">
        <v>905</v>
      </c>
      <c r="F422" s="4">
        <v>6686227</v>
      </c>
      <c r="G422" s="4">
        <v>2</v>
      </c>
      <c r="H422" s="4">
        <v>2</v>
      </c>
      <c r="I422" s="4" t="s">
        <v>27</v>
      </c>
      <c r="J422" s="4" t="s">
        <v>19</v>
      </c>
      <c r="K422" s="4" t="s">
        <v>20</v>
      </c>
      <c r="L422" s="9">
        <v>45299</v>
      </c>
      <c r="M422" s="9" t="str">
        <f>TEXT(Source_data[[#This Row],[Listing_Date]],"mmm-yy")</f>
        <v>Jan-24</v>
      </c>
      <c r="N422" s="4">
        <f t="shared" si="6"/>
        <v>7388.0961325966855</v>
      </c>
      <c r="O422" s="3" cm="1">
        <f t="array" ref="O422">_xlfn.IFS(AND(K422="Broker",J422="Resale"),F422*0.5,AND(K422="Owner",J422="Resale"),F422*0,AND(K422="Builder",J422="Resale"),F422*0.3,AND(J422="New",K422="Broker"),F422*0.1,AND(J422="New",K422="Owner"),F422*0,AND(J422="New",K422="Builder"),F422*0.5)</f>
        <v>668622.70000000007</v>
      </c>
    </row>
    <row r="423" spans="1:15" x14ac:dyDescent="0.3">
      <c r="A423" s="8" t="s">
        <v>465</v>
      </c>
      <c r="B423" s="4" t="s">
        <v>329</v>
      </c>
      <c r="C423" s="4" t="s">
        <v>358</v>
      </c>
      <c r="D423" s="4">
        <v>1</v>
      </c>
      <c r="E423" s="4">
        <v>517</v>
      </c>
      <c r="F423" s="4">
        <v>4965349</v>
      </c>
      <c r="G423" s="4">
        <v>1</v>
      </c>
      <c r="H423" s="4">
        <v>2</v>
      </c>
      <c r="I423" s="4" t="s">
        <v>8</v>
      </c>
      <c r="J423" s="4" t="s">
        <v>23</v>
      </c>
      <c r="K423" s="4" t="s">
        <v>20</v>
      </c>
      <c r="L423" s="9">
        <v>45964</v>
      </c>
      <c r="M423" s="9" t="str">
        <f>TEXT(Source_data[[#This Row],[Listing_Date]],"mmm-yy")</f>
        <v>Nov-25</v>
      </c>
      <c r="N423" s="4">
        <f t="shared" si="6"/>
        <v>9604.1566731141193</v>
      </c>
      <c r="O423" s="3" cm="1">
        <f t="array" ref="O423">_xlfn.IFS(AND(K423="Broker",J423="Resale"),F423*0.5,AND(K423="Owner",J423="Resale"),F423*0,AND(K423="Builder",J423="Resale"),F423*0.3,AND(J423="New",K423="Broker"),F423*0.1,AND(J423="New",K423="Owner"),F423*0,AND(J423="New",K423="Builder"),F423*0.5)</f>
        <v>2482674.5</v>
      </c>
    </row>
    <row r="424" spans="1:15" x14ac:dyDescent="0.3">
      <c r="A424" s="8" t="s">
        <v>466</v>
      </c>
      <c r="B424" s="4" t="s">
        <v>329</v>
      </c>
      <c r="C424" s="4" t="s">
        <v>332</v>
      </c>
      <c r="D424" s="4">
        <v>2</v>
      </c>
      <c r="E424" s="4">
        <v>815</v>
      </c>
      <c r="F424" s="4">
        <v>8622715</v>
      </c>
      <c r="G424" s="4">
        <v>2</v>
      </c>
      <c r="H424" s="4">
        <v>2</v>
      </c>
      <c r="I424" s="4" t="s">
        <v>18</v>
      </c>
      <c r="J424" s="4" t="s">
        <v>23</v>
      </c>
      <c r="K424" s="4" t="s">
        <v>24</v>
      </c>
      <c r="L424" s="9">
        <v>45211</v>
      </c>
      <c r="M424" s="9" t="str">
        <f>TEXT(Source_data[[#This Row],[Listing_Date]],"mmm-yy")</f>
        <v>Oct-23</v>
      </c>
      <c r="N424" s="4">
        <f t="shared" si="6"/>
        <v>10580.018404907976</v>
      </c>
      <c r="O424" s="3" cm="1">
        <f t="array" ref="O424">_xlfn.IFS(AND(K424="Broker",J424="Resale"),F424*0.5,AND(K424="Owner",J424="Resale"),F424*0,AND(K424="Builder",J424="Resale"),F424*0.3,AND(J424="New",K424="Broker"),F424*0.1,AND(J424="New",K424="Owner"),F424*0,AND(J424="New",K424="Builder"),F424*0.5)</f>
        <v>2586814.5</v>
      </c>
    </row>
    <row r="425" spans="1:15" x14ac:dyDescent="0.3">
      <c r="A425" s="8" t="s">
        <v>467</v>
      </c>
      <c r="B425" s="4" t="s">
        <v>329</v>
      </c>
      <c r="C425" s="4" t="s">
        <v>358</v>
      </c>
      <c r="D425" s="4">
        <v>1</v>
      </c>
      <c r="E425" s="4">
        <v>555</v>
      </c>
      <c r="F425" s="4">
        <v>4151938</v>
      </c>
      <c r="G425" s="4">
        <v>2</v>
      </c>
      <c r="H425" s="4">
        <v>1</v>
      </c>
      <c r="I425" s="4" t="s">
        <v>18</v>
      </c>
      <c r="J425" s="4" t="s">
        <v>23</v>
      </c>
      <c r="K425" s="4" t="s">
        <v>20</v>
      </c>
      <c r="L425" s="9">
        <v>45291</v>
      </c>
      <c r="M425" s="9" t="str">
        <f>TEXT(Source_data[[#This Row],[Listing_Date]],"mmm-yy")</f>
        <v>Dec-23</v>
      </c>
      <c r="N425" s="4">
        <f t="shared" si="6"/>
        <v>7480.9693693693698</v>
      </c>
      <c r="O425" s="3" cm="1">
        <f t="array" ref="O425">_xlfn.IFS(AND(K425="Broker",J425="Resale"),F425*0.5,AND(K425="Owner",J425="Resale"),F425*0,AND(K425="Builder",J425="Resale"),F425*0.3,AND(J425="New",K425="Broker"),F425*0.1,AND(J425="New",K425="Owner"),F425*0,AND(J425="New",K425="Builder"),F425*0.5)</f>
        <v>2075969</v>
      </c>
    </row>
    <row r="426" spans="1:15" x14ac:dyDescent="0.3">
      <c r="A426" s="8" t="s">
        <v>468</v>
      </c>
      <c r="B426" s="4" t="s">
        <v>329</v>
      </c>
      <c r="C426" s="4" t="s">
        <v>339</v>
      </c>
      <c r="D426" s="4">
        <v>2</v>
      </c>
      <c r="E426" s="4">
        <v>947</v>
      </c>
      <c r="F426" s="4">
        <v>8052559</v>
      </c>
      <c r="G426" s="4">
        <v>2</v>
      </c>
      <c r="H426" s="4">
        <v>0</v>
      </c>
      <c r="I426" s="4" t="s">
        <v>8</v>
      </c>
      <c r="J426" s="4" t="s">
        <v>19</v>
      </c>
      <c r="K426" s="4" t="s">
        <v>24</v>
      </c>
      <c r="L426" s="9">
        <v>45181</v>
      </c>
      <c r="M426" s="9" t="str">
        <f>TEXT(Source_data[[#This Row],[Listing_Date]],"mmm-yy")</f>
        <v>Sep-23</v>
      </c>
      <c r="N426" s="4">
        <f t="shared" si="6"/>
        <v>8503.2302006335794</v>
      </c>
      <c r="O426" s="3" cm="1">
        <f t="array" ref="O426">_xlfn.IFS(AND(K426="Broker",J426="Resale"),F426*0.5,AND(K426="Owner",J426="Resale"),F426*0,AND(K426="Builder",J426="Resale"),F426*0.3,AND(J426="New",K426="Broker"),F426*0.1,AND(J426="New",K426="Owner"),F426*0,AND(J426="New",K426="Builder"),F426*0.5)</f>
        <v>4026279.5</v>
      </c>
    </row>
    <row r="427" spans="1:15" x14ac:dyDescent="0.3">
      <c r="A427" s="8" t="s">
        <v>469</v>
      </c>
      <c r="B427" s="4" t="s">
        <v>329</v>
      </c>
      <c r="C427" s="4" t="s">
        <v>330</v>
      </c>
      <c r="D427" s="4">
        <v>1</v>
      </c>
      <c r="E427" s="4">
        <v>400</v>
      </c>
      <c r="F427" s="4">
        <v>3576294</v>
      </c>
      <c r="G427" s="4">
        <v>1</v>
      </c>
      <c r="H427" s="4">
        <v>3</v>
      </c>
      <c r="I427" s="4" t="s">
        <v>8</v>
      </c>
      <c r="J427" s="4" t="s">
        <v>19</v>
      </c>
      <c r="K427" s="4" t="s">
        <v>24</v>
      </c>
      <c r="L427" s="9">
        <v>45644</v>
      </c>
      <c r="M427" s="9" t="str">
        <f>TEXT(Source_data[[#This Row],[Listing_Date]],"mmm-yy")</f>
        <v>Dec-24</v>
      </c>
      <c r="N427" s="4">
        <f t="shared" si="6"/>
        <v>8940.7350000000006</v>
      </c>
      <c r="O427" s="3" cm="1">
        <f t="array" ref="O427">_xlfn.IFS(AND(K427="Broker",J427="Resale"),F427*0.5,AND(K427="Owner",J427="Resale"),F427*0,AND(K427="Builder",J427="Resale"),F427*0.3,AND(J427="New",K427="Broker"),F427*0.1,AND(J427="New",K427="Owner"),F427*0,AND(J427="New",K427="Builder"),F427*0.5)</f>
        <v>1788147</v>
      </c>
    </row>
    <row r="428" spans="1:15" x14ac:dyDescent="0.3">
      <c r="A428" s="8" t="s">
        <v>470</v>
      </c>
      <c r="B428" s="4" t="s">
        <v>329</v>
      </c>
      <c r="C428" s="4" t="s">
        <v>336</v>
      </c>
      <c r="D428" s="4">
        <v>2</v>
      </c>
      <c r="E428" s="4">
        <v>969</v>
      </c>
      <c r="F428" s="4">
        <v>8813442</v>
      </c>
      <c r="G428" s="4">
        <v>3</v>
      </c>
      <c r="H428" s="4">
        <v>1</v>
      </c>
      <c r="I428" s="4" t="s">
        <v>18</v>
      </c>
      <c r="J428" s="4" t="s">
        <v>23</v>
      </c>
      <c r="K428" s="4" t="s">
        <v>24</v>
      </c>
      <c r="L428" s="9">
        <v>45090</v>
      </c>
      <c r="M428" s="9" t="str">
        <f>TEXT(Source_data[[#This Row],[Listing_Date]],"mmm-yy")</f>
        <v>Jun-23</v>
      </c>
      <c r="N428" s="4">
        <f t="shared" si="6"/>
        <v>9095.3993808049527</v>
      </c>
      <c r="O428" s="3" cm="1">
        <f t="array" ref="O428">_xlfn.IFS(AND(K428="Broker",J428="Resale"),F428*0.5,AND(K428="Owner",J428="Resale"),F428*0,AND(K428="Builder",J428="Resale"),F428*0.3,AND(J428="New",K428="Broker"),F428*0.1,AND(J428="New",K428="Owner"),F428*0,AND(J428="New",K428="Builder"),F428*0.5)</f>
        <v>2644032.6</v>
      </c>
    </row>
    <row r="429" spans="1:15" x14ac:dyDescent="0.3">
      <c r="A429" s="8" t="s">
        <v>471</v>
      </c>
      <c r="B429" s="4" t="s">
        <v>329</v>
      </c>
      <c r="C429" s="4" t="s">
        <v>358</v>
      </c>
      <c r="D429" s="4">
        <v>2</v>
      </c>
      <c r="E429" s="4">
        <v>1156</v>
      </c>
      <c r="F429" s="4">
        <v>8763800</v>
      </c>
      <c r="G429" s="4">
        <v>2</v>
      </c>
      <c r="H429" s="4">
        <v>2</v>
      </c>
      <c r="I429" s="4" t="s">
        <v>18</v>
      </c>
      <c r="J429" s="4" t="s">
        <v>19</v>
      </c>
      <c r="K429" s="4" t="s">
        <v>36</v>
      </c>
      <c r="L429" s="9">
        <v>45136</v>
      </c>
      <c r="M429" s="9" t="str">
        <f>TEXT(Source_data[[#This Row],[Listing_Date]],"mmm-yy")</f>
        <v>Jul-23</v>
      </c>
      <c r="N429" s="4">
        <f t="shared" si="6"/>
        <v>7581.1418685121107</v>
      </c>
      <c r="O429" s="3" cm="1">
        <f t="array" ref="O429">_xlfn.IFS(AND(K429="Broker",J429="Resale"),F429*0.5,AND(K429="Owner",J429="Resale"),F429*0,AND(K429="Builder",J429="Resale"),F429*0.3,AND(J429="New",K429="Broker"),F429*0.1,AND(J429="New",K429="Owner"),F429*0,AND(J429="New",K429="Builder"),F429*0.5)</f>
        <v>0</v>
      </c>
    </row>
    <row r="430" spans="1:15" x14ac:dyDescent="0.3">
      <c r="A430" s="8" t="s">
        <v>472</v>
      </c>
      <c r="B430" s="4" t="s">
        <v>329</v>
      </c>
      <c r="C430" s="4" t="s">
        <v>332</v>
      </c>
      <c r="D430" s="4">
        <v>1</v>
      </c>
      <c r="E430" s="4">
        <v>610</v>
      </c>
      <c r="F430" s="4">
        <v>6308221</v>
      </c>
      <c r="G430" s="4">
        <v>2</v>
      </c>
      <c r="H430" s="4">
        <v>3</v>
      </c>
      <c r="I430" s="4" t="s">
        <v>27</v>
      </c>
      <c r="J430" s="4" t="s">
        <v>19</v>
      </c>
      <c r="K430" s="4" t="s">
        <v>36</v>
      </c>
      <c r="L430" s="9">
        <v>45647</v>
      </c>
      <c r="M430" s="9" t="str">
        <f>TEXT(Source_data[[#This Row],[Listing_Date]],"mmm-yy")</f>
        <v>Dec-24</v>
      </c>
      <c r="N430" s="4">
        <f t="shared" si="6"/>
        <v>10341.345901639344</v>
      </c>
      <c r="O430" s="3" cm="1">
        <f t="array" ref="O430">_xlfn.IFS(AND(K430="Broker",J430="Resale"),F430*0.5,AND(K430="Owner",J430="Resale"),F430*0,AND(K430="Builder",J430="Resale"),F430*0.3,AND(J430="New",K430="Broker"),F430*0.1,AND(J430="New",K430="Owner"),F430*0,AND(J430="New",K430="Builder"),F430*0.5)</f>
        <v>0</v>
      </c>
    </row>
    <row r="431" spans="1:15" x14ac:dyDescent="0.3">
      <c r="A431" s="8" t="s">
        <v>473</v>
      </c>
      <c r="B431" s="4" t="s">
        <v>329</v>
      </c>
      <c r="C431" s="4" t="s">
        <v>351</v>
      </c>
      <c r="D431" s="4">
        <v>2</v>
      </c>
      <c r="E431" s="4">
        <v>979</v>
      </c>
      <c r="F431" s="4">
        <v>9162337</v>
      </c>
      <c r="G431" s="4">
        <v>3</v>
      </c>
      <c r="H431" s="4">
        <v>4</v>
      </c>
      <c r="I431" s="4" t="s">
        <v>8</v>
      </c>
      <c r="J431" s="4" t="s">
        <v>23</v>
      </c>
      <c r="K431" s="4" t="s">
        <v>20</v>
      </c>
      <c r="L431" s="9">
        <v>45111</v>
      </c>
      <c r="M431" s="9" t="str">
        <f>TEXT(Source_data[[#This Row],[Listing_Date]],"mmm-yy")</f>
        <v>Jul-23</v>
      </c>
      <c r="N431" s="4">
        <f t="shared" si="6"/>
        <v>9358.8733401430036</v>
      </c>
      <c r="O431" s="3" cm="1">
        <f t="array" ref="O431">_xlfn.IFS(AND(K431="Broker",J431="Resale"),F431*0.5,AND(K431="Owner",J431="Resale"),F431*0,AND(K431="Builder",J431="Resale"),F431*0.3,AND(J431="New",K431="Broker"),F431*0.1,AND(J431="New",K431="Owner"),F431*0,AND(J431="New",K431="Builder"),F431*0.5)</f>
        <v>4581168.5</v>
      </c>
    </row>
    <row r="432" spans="1:15" x14ac:dyDescent="0.3">
      <c r="A432" s="8" t="s">
        <v>474</v>
      </c>
      <c r="B432" s="4" t="s">
        <v>329</v>
      </c>
      <c r="C432" s="4" t="s">
        <v>332</v>
      </c>
      <c r="D432" s="4">
        <v>2</v>
      </c>
      <c r="E432" s="4">
        <v>433</v>
      </c>
      <c r="F432" s="4">
        <v>2567973</v>
      </c>
      <c r="G432" s="4">
        <v>2</v>
      </c>
      <c r="H432" s="4">
        <v>3</v>
      </c>
      <c r="I432" s="4" t="s">
        <v>18</v>
      </c>
      <c r="J432" s="4" t="s">
        <v>19</v>
      </c>
      <c r="K432" s="4" t="s">
        <v>36</v>
      </c>
      <c r="L432" s="9">
        <v>45434</v>
      </c>
      <c r="M432" s="9" t="str">
        <f>TEXT(Source_data[[#This Row],[Listing_Date]],"mmm-yy")</f>
        <v>May-24</v>
      </c>
      <c r="N432" s="4">
        <f t="shared" si="6"/>
        <v>5930.6535796766748</v>
      </c>
      <c r="O432" s="3" cm="1">
        <f t="array" ref="O432">_xlfn.IFS(AND(K432="Broker",J432="Resale"),F432*0.5,AND(K432="Owner",J432="Resale"),F432*0,AND(K432="Builder",J432="Resale"),F432*0.3,AND(J432="New",K432="Broker"),F432*0.1,AND(J432="New",K432="Owner"),F432*0,AND(J432="New",K432="Builder"),F432*0.5)</f>
        <v>0</v>
      </c>
    </row>
    <row r="433" spans="1:15" x14ac:dyDescent="0.3">
      <c r="A433" s="8" t="s">
        <v>475</v>
      </c>
      <c r="B433" s="4" t="s">
        <v>329</v>
      </c>
      <c r="C433" s="4" t="s">
        <v>351</v>
      </c>
      <c r="D433" s="4">
        <v>3</v>
      </c>
      <c r="E433" s="4">
        <v>1325</v>
      </c>
      <c r="F433" s="4">
        <v>13174455</v>
      </c>
      <c r="G433" s="4">
        <v>3</v>
      </c>
      <c r="H433" s="4">
        <v>2</v>
      </c>
      <c r="I433" s="4" t="s">
        <v>18</v>
      </c>
      <c r="J433" s="4" t="s">
        <v>19</v>
      </c>
      <c r="K433" s="4" t="s">
        <v>36</v>
      </c>
      <c r="L433" s="9">
        <v>45895</v>
      </c>
      <c r="M433" s="9" t="str">
        <f>TEXT(Source_data[[#This Row],[Listing_Date]],"mmm-yy")</f>
        <v>Aug-25</v>
      </c>
      <c r="N433" s="4">
        <f t="shared" si="6"/>
        <v>9942.984905660378</v>
      </c>
      <c r="O433" s="3" cm="1">
        <f t="array" ref="O433">_xlfn.IFS(AND(K433="Broker",J433="Resale"),F433*0.5,AND(K433="Owner",J433="Resale"),F433*0,AND(K433="Builder",J433="Resale"),F433*0.3,AND(J433="New",K433="Broker"),F433*0.1,AND(J433="New",K433="Owner"),F433*0,AND(J433="New",K433="Builder"),F433*0.5)</f>
        <v>0</v>
      </c>
    </row>
    <row r="434" spans="1:15" x14ac:dyDescent="0.3">
      <c r="A434" s="8" t="s">
        <v>476</v>
      </c>
      <c r="B434" s="4" t="s">
        <v>329</v>
      </c>
      <c r="C434" s="4" t="s">
        <v>351</v>
      </c>
      <c r="D434" s="4">
        <v>4</v>
      </c>
      <c r="E434" s="4">
        <v>1328</v>
      </c>
      <c r="F434" s="4">
        <v>11316707</v>
      </c>
      <c r="G434" s="4">
        <v>3</v>
      </c>
      <c r="H434" s="4">
        <v>1</v>
      </c>
      <c r="I434" s="4" t="s">
        <v>8</v>
      </c>
      <c r="J434" s="4" t="s">
        <v>23</v>
      </c>
      <c r="K434" s="4" t="s">
        <v>24</v>
      </c>
      <c r="L434" s="9">
        <v>45056</v>
      </c>
      <c r="M434" s="9" t="str">
        <f>TEXT(Source_data[[#This Row],[Listing_Date]],"mmm-yy")</f>
        <v>May-23</v>
      </c>
      <c r="N434" s="4">
        <f t="shared" si="6"/>
        <v>8521.6167168674692</v>
      </c>
      <c r="O434" s="3" cm="1">
        <f t="array" ref="O434">_xlfn.IFS(AND(K434="Broker",J434="Resale"),F434*0.5,AND(K434="Owner",J434="Resale"),F434*0,AND(K434="Builder",J434="Resale"),F434*0.3,AND(J434="New",K434="Broker"),F434*0.1,AND(J434="New",K434="Owner"),F434*0,AND(J434="New",K434="Builder"),F434*0.5)</f>
        <v>3395012.1</v>
      </c>
    </row>
    <row r="435" spans="1:15" x14ac:dyDescent="0.3">
      <c r="A435" s="8" t="s">
        <v>477</v>
      </c>
      <c r="B435" s="4" t="s">
        <v>329</v>
      </c>
      <c r="C435" s="4" t="s">
        <v>339</v>
      </c>
      <c r="D435" s="4">
        <v>4</v>
      </c>
      <c r="E435" s="4">
        <v>1956</v>
      </c>
      <c r="F435" s="4">
        <v>16288360</v>
      </c>
      <c r="G435" s="4">
        <v>3</v>
      </c>
      <c r="H435" s="4">
        <v>3</v>
      </c>
      <c r="I435" s="4" t="s">
        <v>8</v>
      </c>
      <c r="J435" s="4" t="s">
        <v>19</v>
      </c>
      <c r="K435" s="4" t="s">
        <v>36</v>
      </c>
      <c r="L435" s="9">
        <v>45816</v>
      </c>
      <c r="M435" s="9" t="str">
        <f>TEXT(Source_data[[#This Row],[Listing_Date]],"mmm-yy")</f>
        <v>Jun-25</v>
      </c>
      <c r="N435" s="4">
        <f t="shared" si="6"/>
        <v>8327.3824130879348</v>
      </c>
      <c r="O435" s="3" cm="1">
        <f t="array" ref="O435">_xlfn.IFS(AND(K435="Broker",J435="Resale"),F435*0.5,AND(K435="Owner",J435="Resale"),F435*0,AND(K435="Builder",J435="Resale"),F435*0.3,AND(J435="New",K435="Broker"),F435*0.1,AND(J435="New",K435="Owner"),F435*0,AND(J435="New",K435="Builder"),F435*0.5)</f>
        <v>0</v>
      </c>
    </row>
    <row r="436" spans="1:15" x14ac:dyDescent="0.3">
      <c r="A436" s="8" t="s">
        <v>478</v>
      </c>
      <c r="B436" s="4" t="s">
        <v>329</v>
      </c>
      <c r="C436" s="4" t="s">
        <v>351</v>
      </c>
      <c r="D436" s="4">
        <v>1</v>
      </c>
      <c r="E436" s="4">
        <v>555</v>
      </c>
      <c r="F436" s="4">
        <v>5277421</v>
      </c>
      <c r="G436" s="4">
        <v>2</v>
      </c>
      <c r="H436" s="4">
        <v>2</v>
      </c>
      <c r="I436" s="4" t="s">
        <v>8</v>
      </c>
      <c r="J436" s="4" t="s">
        <v>19</v>
      </c>
      <c r="K436" s="4" t="s">
        <v>24</v>
      </c>
      <c r="L436" s="9">
        <v>44961</v>
      </c>
      <c r="M436" s="9" t="str">
        <f>TEXT(Source_data[[#This Row],[Listing_Date]],"mmm-yy")</f>
        <v>Feb-23</v>
      </c>
      <c r="N436" s="4">
        <f t="shared" si="6"/>
        <v>9508.8666666666668</v>
      </c>
      <c r="O436" s="3" cm="1">
        <f t="array" ref="O436">_xlfn.IFS(AND(K436="Broker",J436="Resale"),F436*0.5,AND(K436="Owner",J436="Resale"),F436*0,AND(K436="Builder",J436="Resale"),F436*0.3,AND(J436="New",K436="Broker"),F436*0.1,AND(J436="New",K436="Owner"),F436*0,AND(J436="New",K436="Builder"),F436*0.5)</f>
        <v>2638710.5</v>
      </c>
    </row>
    <row r="437" spans="1:15" x14ac:dyDescent="0.3">
      <c r="A437" s="8" t="s">
        <v>479</v>
      </c>
      <c r="B437" s="4" t="s">
        <v>329</v>
      </c>
      <c r="C437" s="4" t="s">
        <v>339</v>
      </c>
      <c r="D437" s="4">
        <v>2</v>
      </c>
      <c r="E437" s="4">
        <v>1046</v>
      </c>
      <c r="F437" s="4">
        <v>8904226</v>
      </c>
      <c r="G437" s="4">
        <v>3</v>
      </c>
      <c r="H437" s="4">
        <v>0</v>
      </c>
      <c r="I437" s="4" t="s">
        <v>8</v>
      </c>
      <c r="J437" s="4" t="s">
        <v>19</v>
      </c>
      <c r="K437" s="4" t="s">
        <v>24</v>
      </c>
      <c r="L437" s="9">
        <v>45201</v>
      </c>
      <c r="M437" s="9" t="str">
        <f>TEXT(Source_data[[#This Row],[Listing_Date]],"mmm-yy")</f>
        <v>Oct-23</v>
      </c>
      <c r="N437" s="4">
        <f t="shared" si="6"/>
        <v>8512.644359464628</v>
      </c>
      <c r="O437" s="3" cm="1">
        <f t="array" ref="O437">_xlfn.IFS(AND(K437="Broker",J437="Resale"),F437*0.5,AND(K437="Owner",J437="Resale"),F437*0,AND(K437="Builder",J437="Resale"),F437*0.3,AND(J437="New",K437="Broker"),F437*0.1,AND(J437="New",K437="Owner"),F437*0,AND(J437="New",K437="Builder"),F437*0.5)</f>
        <v>4452113</v>
      </c>
    </row>
    <row r="438" spans="1:15" x14ac:dyDescent="0.3">
      <c r="A438" s="8" t="s">
        <v>480</v>
      </c>
      <c r="B438" s="4" t="s">
        <v>329</v>
      </c>
      <c r="C438" s="4" t="s">
        <v>336</v>
      </c>
      <c r="D438" s="4">
        <v>3</v>
      </c>
      <c r="E438" s="4">
        <v>1131</v>
      </c>
      <c r="F438" s="4">
        <v>10688370</v>
      </c>
      <c r="G438" s="4">
        <v>3</v>
      </c>
      <c r="H438" s="4">
        <v>2</v>
      </c>
      <c r="I438" s="4" t="s">
        <v>18</v>
      </c>
      <c r="J438" s="4" t="s">
        <v>19</v>
      </c>
      <c r="K438" s="4" t="s">
        <v>36</v>
      </c>
      <c r="L438" s="9">
        <v>45452</v>
      </c>
      <c r="M438" s="9" t="str">
        <f>TEXT(Source_data[[#This Row],[Listing_Date]],"mmm-yy")</f>
        <v>Jun-24</v>
      </c>
      <c r="N438" s="4">
        <f t="shared" si="6"/>
        <v>9450.3713527851451</v>
      </c>
      <c r="O438" s="3" cm="1">
        <f t="array" ref="O438">_xlfn.IFS(AND(K438="Broker",J438="Resale"),F438*0.5,AND(K438="Owner",J438="Resale"),F438*0,AND(K438="Builder",J438="Resale"),F438*0.3,AND(J438="New",K438="Broker"),F438*0.1,AND(J438="New",K438="Owner"),F438*0,AND(J438="New",K438="Builder"),F438*0.5)</f>
        <v>0</v>
      </c>
    </row>
    <row r="439" spans="1:15" x14ac:dyDescent="0.3">
      <c r="A439" s="8" t="s">
        <v>481</v>
      </c>
      <c r="B439" s="4" t="s">
        <v>329</v>
      </c>
      <c r="C439" s="4" t="s">
        <v>339</v>
      </c>
      <c r="D439" s="4">
        <v>3</v>
      </c>
      <c r="E439" s="4">
        <v>1204</v>
      </c>
      <c r="F439" s="4">
        <v>12066956</v>
      </c>
      <c r="G439" s="4">
        <v>2</v>
      </c>
      <c r="H439" s="4">
        <v>2</v>
      </c>
      <c r="I439" s="4" t="s">
        <v>8</v>
      </c>
      <c r="J439" s="4" t="s">
        <v>19</v>
      </c>
      <c r="K439" s="4" t="s">
        <v>24</v>
      </c>
      <c r="L439" s="9">
        <v>45874</v>
      </c>
      <c r="M439" s="9" t="str">
        <f>TEXT(Source_data[[#This Row],[Listing_Date]],"mmm-yy")</f>
        <v>Aug-25</v>
      </c>
      <c r="N439" s="4">
        <f t="shared" si="6"/>
        <v>10022.388704318937</v>
      </c>
      <c r="O439" s="3" cm="1">
        <f t="array" ref="O439">_xlfn.IFS(AND(K439="Broker",J439="Resale"),F439*0.5,AND(K439="Owner",J439="Resale"),F439*0,AND(K439="Builder",J439="Resale"),F439*0.3,AND(J439="New",K439="Broker"),F439*0.1,AND(J439="New",K439="Owner"),F439*0,AND(J439="New",K439="Builder"),F439*0.5)</f>
        <v>6033478</v>
      </c>
    </row>
    <row r="440" spans="1:15" x14ac:dyDescent="0.3">
      <c r="A440" s="8" t="s">
        <v>482</v>
      </c>
      <c r="B440" s="4" t="s">
        <v>329</v>
      </c>
      <c r="C440" s="4" t="s">
        <v>358</v>
      </c>
      <c r="D440" s="4">
        <v>3</v>
      </c>
      <c r="E440" s="4">
        <v>1149</v>
      </c>
      <c r="F440" s="4">
        <v>9942611</v>
      </c>
      <c r="G440" s="4">
        <v>3</v>
      </c>
      <c r="H440" s="4">
        <v>1</v>
      </c>
      <c r="I440" s="4" t="s">
        <v>18</v>
      </c>
      <c r="J440" s="4" t="s">
        <v>19</v>
      </c>
      <c r="K440" s="4" t="s">
        <v>36</v>
      </c>
      <c r="L440" s="9">
        <v>45402</v>
      </c>
      <c r="M440" s="9" t="str">
        <f>TEXT(Source_data[[#This Row],[Listing_Date]],"mmm-yy")</f>
        <v>Apr-24</v>
      </c>
      <c r="N440" s="4">
        <f t="shared" si="6"/>
        <v>8653.2732811140122</v>
      </c>
      <c r="O440" s="3" cm="1">
        <f t="array" ref="O440">_xlfn.IFS(AND(K440="Broker",J440="Resale"),F440*0.5,AND(K440="Owner",J440="Resale"),F440*0,AND(K440="Builder",J440="Resale"),F440*0.3,AND(J440="New",K440="Broker"),F440*0.1,AND(J440="New",K440="Owner"),F440*0,AND(J440="New",K440="Builder"),F440*0.5)</f>
        <v>0</v>
      </c>
    </row>
    <row r="441" spans="1:15" x14ac:dyDescent="0.3">
      <c r="A441" s="8" t="s">
        <v>483</v>
      </c>
      <c r="B441" s="4" t="s">
        <v>329</v>
      </c>
      <c r="C441" s="4" t="s">
        <v>358</v>
      </c>
      <c r="D441" s="4">
        <v>2</v>
      </c>
      <c r="E441" s="4">
        <v>1147</v>
      </c>
      <c r="F441" s="4">
        <v>8374668</v>
      </c>
      <c r="G441" s="4">
        <v>2</v>
      </c>
      <c r="H441" s="4">
        <v>2</v>
      </c>
      <c r="I441" s="4" t="s">
        <v>18</v>
      </c>
      <c r="J441" s="4" t="s">
        <v>19</v>
      </c>
      <c r="K441" s="4" t="s">
        <v>24</v>
      </c>
      <c r="L441" s="9">
        <v>45576</v>
      </c>
      <c r="M441" s="9" t="str">
        <f>TEXT(Source_data[[#This Row],[Listing_Date]],"mmm-yy")</f>
        <v>Oct-24</v>
      </c>
      <c r="N441" s="4">
        <f t="shared" si="6"/>
        <v>7301.3670444638183</v>
      </c>
      <c r="O441" s="3" cm="1">
        <f t="array" ref="O441">_xlfn.IFS(AND(K441="Broker",J441="Resale"),F441*0.5,AND(K441="Owner",J441="Resale"),F441*0,AND(K441="Builder",J441="Resale"),F441*0.3,AND(J441="New",K441="Broker"),F441*0.1,AND(J441="New",K441="Owner"),F441*0,AND(J441="New",K441="Builder"),F441*0.5)</f>
        <v>4187334</v>
      </c>
    </row>
    <row r="442" spans="1:15" x14ac:dyDescent="0.3">
      <c r="A442" s="8" t="s">
        <v>484</v>
      </c>
      <c r="B442" s="4" t="s">
        <v>329</v>
      </c>
      <c r="C442" s="4" t="s">
        <v>330</v>
      </c>
      <c r="D442" s="4">
        <v>1</v>
      </c>
      <c r="E442" s="4">
        <v>626</v>
      </c>
      <c r="F442" s="4">
        <v>5117588</v>
      </c>
      <c r="G442" s="4">
        <v>1</v>
      </c>
      <c r="H442" s="4">
        <v>4</v>
      </c>
      <c r="I442" s="4" t="s">
        <v>8</v>
      </c>
      <c r="J442" s="4" t="s">
        <v>19</v>
      </c>
      <c r="K442" s="4" t="s">
        <v>24</v>
      </c>
      <c r="L442" s="9">
        <v>45411</v>
      </c>
      <c r="M442" s="9" t="str">
        <f>TEXT(Source_data[[#This Row],[Listing_Date]],"mmm-yy")</f>
        <v>Apr-24</v>
      </c>
      <c r="N442" s="4">
        <f t="shared" si="6"/>
        <v>8175.0607028753993</v>
      </c>
      <c r="O442" s="3" cm="1">
        <f t="array" ref="O442">_xlfn.IFS(AND(K442="Broker",J442="Resale"),F442*0.5,AND(K442="Owner",J442="Resale"),F442*0,AND(K442="Builder",J442="Resale"),F442*0.3,AND(J442="New",K442="Broker"),F442*0.1,AND(J442="New",K442="Owner"),F442*0,AND(J442="New",K442="Builder"),F442*0.5)</f>
        <v>2558794</v>
      </c>
    </row>
    <row r="443" spans="1:15" x14ac:dyDescent="0.3">
      <c r="A443" s="8" t="s">
        <v>485</v>
      </c>
      <c r="B443" s="4" t="s">
        <v>329</v>
      </c>
      <c r="C443" s="4" t="s">
        <v>339</v>
      </c>
      <c r="D443" s="4">
        <v>3</v>
      </c>
      <c r="E443" s="4">
        <v>1223</v>
      </c>
      <c r="F443" s="4">
        <v>22979362</v>
      </c>
      <c r="G443" s="4">
        <v>3</v>
      </c>
      <c r="H443" s="4">
        <v>2</v>
      </c>
      <c r="I443" s="4" t="s">
        <v>27</v>
      </c>
      <c r="J443" s="4" t="s">
        <v>19</v>
      </c>
      <c r="K443" s="4" t="s">
        <v>20</v>
      </c>
      <c r="L443" s="9">
        <v>45207</v>
      </c>
      <c r="M443" s="9" t="str">
        <f>TEXT(Source_data[[#This Row],[Listing_Date]],"mmm-yy")</f>
        <v>Oct-23</v>
      </c>
      <c r="N443" s="4">
        <f t="shared" si="6"/>
        <v>18789.339329517581</v>
      </c>
      <c r="O443" s="3" cm="1">
        <f t="array" ref="O443">_xlfn.IFS(AND(K443="Broker",J443="Resale"),F443*0.5,AND(K443="Owner",J443="Resale"),F443*0,AND(K443="Builder",J443="Resale"),F443*0.3,AND(J443="New",K443="Broker"),F443*0.1,AND(J443="New",K443="Owner"),F443*0,AND(J443="New",K443="Builder"),F443*0.5)</f>
        <v>2297936.2000000002</v>
      </c>
    </row>
    <row r="444" spans="1:15" x14ac:dyDescent="0.3">
      <c r="A444" s="8" t="s">
        <v>486</v>
      </c>
      <c r="B444" s="4" t="s">
        <v>487</v>
      </c>
      <c r="C444" s="4" t="s">
        <v>488</v>
      </c>
      <c r="D444" s="4">
        <v>5</v>
      </c>
      <c r="E444" s="4">
        <v>2071</v>
      </c>
      <c r="F444" s="4">
        <v>26041798</v>
      </c>
      <c r="G444" s="4">
        <v>3</v>
      </c>
      <c r="H444" s="4">
        <v>2</v>
      </c>
      <c r="I444" s="4" t="s">
        <v>27</v>
      </c>
      <c r="J444" s="4" t="s">
        <v>23</v>
      </c>
      <c r="K444" s="4" t="s">
        <v>20</v>
      </c>
      <c r="L444" s="9">
        <v>45730</v>
      </c>
      <c r="M444" s="9" t="str">
        <f>TEXT(Source_data[[#This Row],[Listing_Date]],"mmm-yy")</f>
        <v>Mar-25</v>
      </c>
      <c r="N444" s="4">
        <f t="shared" si="6"/>
        <v>12574.504104297441</v>
      </c>
      <c r="O444" s="3" cm="1">
        <f t="array" ref="O444">_xlfn.IFS(AND(K444="Broker",J444="Resale"),F444*0.5,AND(K444="Owner",J444="Resale"),F444*0,AND(K444="Builder",J444="Resale"),F444*0.3,AND(J444="New",K444="Broker"),F444*0.1,AND(J444="New",K444="Owner"),F444*0,AND(J444="New",K444="Builder"),F444*0.5)</f>
        <v>13020899</v>
      </c>
    </row>
    <row r="445" spans="1:15" x14ac:dyDescent="0.3">
      <c r="A445" s="8" t="s">
        <v>489</v>
      </c>
      <c r="B445" s="4" t="s">
        <v>487</v>
      </c>
      <c r="C445" s="4" t="s">
        <v>490</v>
      </c>
      <c r="D445" s="4">
        <v>4</v>
      </c>
      <c r="E445" s="4">
        <v>2216</v>
      </c>
      <c r="F445" s="4">
        <v>27796642</v>
      </c>
      <c r="G445" s="4">
        <v>2</v>
      </c>
      <c r="H445" s="4">
        <v>2</v>
      </c>
      <c r="I445" s="4" t="s">
        <v>18</v>
      </c>
      <c r="J445" s="4" t="s">
        <v>23</v>
      </c>
      <c r="K445" s="4" t="s">
        <v>24</v>
      </c>
      <c r="L445" s="9">
        <v>45518</v>
      </c>
      <c r="M445" s="9" t="str">
        <f>TEXT(Source_data[[#This Row],[Listing_Date]],"mmm-yy")</f>
        <v>Aug-24</v>
      </c>
      <c r="N445" s="4">
        <f t="shared" si="6"/>
        <v>12543.611010830326</v>
      </c>
      <c r="O445" s="3" cm="1">
        <f t="array" ref="O445">_xlfn.IFS(AND(K445="Broker",J445="Resale"),F445*0.5,AND(K445="Owner",J445="Resale"),F445*0,AND(K445="Builder",J445="Resale"),F445*0.3,AND(J445="New",K445="Broker"),F445*0.1,AND(J445="New",K445="Owner"),F445*0,AND(J445="New",K445="Builder"),F445*0.5)</f>
        <v>8338992.5999999996</v>
      </c>
    </row>
    <row r="446" spans="1:15" x14ac:dyDescent="0.3">
      <c r="A446" s="8" t="s">
        <v>491</v>
      </c>
      <c r="B446" s="4" t="s">
        <v>487</v>
      </c>
      <c r="C446" s="4" t="s">
        <v>492</v>
      </c>
      <c r="D446" s="4">
        <v>2</v>
      </c>
      <c r="E446" s="4">
        <v>658</v>
      </c>
      <c r="F446" s="4">
        <v>8753880</v>
      </c>
      <c r="G446" s="4">
        <v>3</v>
      </c>
      <c r="H446" s="4">
        <v>1</v>
      </c>
      <c r="I446" s="4" t="s">
        <v>8</v>
      </c>
      <c r="J446" s="4" t="s">
        <v>19</v>
      </c>
      <c r="K446" s="4" t="s">
        <v>20</v>
      </c>
      <c r="L446" s="9">
        <v>44993</v>
      </c>
      <c r="M446" s="9" t="str">
        <f>TEXT(Source_data[[#This Row],[Listing_Date]],"mmm-yy")</f>
        <v>Mar-23</v>
      </c>
      <c r="N446" s="4">
        <f t="shared" si="6"/>
        <v>13303.768996960487</v>
      </c>
      <c r="O446" s="3" cm="1">
        <f t="array" ref="O446">_xlfn.IFS(AND(K446="Broker",J446="Resale"),F446*0.5,AND(K446="Owner",J446="Resale"),F446*0,AND(K446="Builder",J446="Resale"),F446*0.3,AND(J446="New",K446="Broker"),F446*0.1,AND(J446="New",K446="Owner"),F446*0,AND(J446="New",K446="Builder"),F446*0.5)</f>
        <v>875388</v>
      </c>
    </row>
    <row r="447" spans="1:15" x14ac:dyDescent="0.3">
      <c r="A447" s="8" t="s">
        <v>493</v>
      </c>
      <c r="B447" s="4" t="s">
        <v>487</v>
      </c>
      <c r="C447" s="4" t="s">
        <v>490</v>
      </c>
      <c r="D447" s="4">
        <v>3</v>
      </c>
      <c r="E447" s="4">
        <v>1564</v>
      </c>
      <c r="F447" s="4">
        <v>24141532</v>
      </c>
      <c r="G447" s="4">
        <v>3</v>
      </c>
      <c r="H447" s="4">
        <v>1</v>
      </c>
      <c r="I447" s="4" t="s">
        <v>27</v>
      </c>
      <c r="J447" s="4" t="s">
        <v>23</v>
      </c>
      <c r="K447" s="4" t="s">
        <v>20</v>
      </c>
      <c r="L447" s="9">
        <v>45465</v>
      </c>
      <c r="M447" s="9" t="str">
        <f>TEXT(Source_data[[#This Row],[Listing_Date]],"mmm-yy")</f>
        <v>Jun-24</v>
      </c>
      <c r="N447" s="4">
        <f t="shared" si="6"/>
        <v>15435.762148337595</v>
      </c>
      <c r="O447" s="3" cm="1">
        <f t="array" ref="O447">_xlfn.IFS(AND(K447="Broker",J447="Resale"),F447*0.5,AND(K447="Owner",J447="Resale"),F447*0,AND(K447="Builder",J447="Resale"),F447*0.3,AND(J447="New",K447="Broker"),F447*0.1,AND(J447="New",K447="Owner"),F447*0,AND(J447="New",K447="Builder"),F447*0.5)</f>
        <v>12070766</v>
      </c>
    </row>
    <row r="448" spans="1:15" x14ac:dyDescent="0.3">
      <c r="A448" s="8" t="s">
        <v>494</v>
      </c>
      <c r="B448" s="4" t="s">
        <v>487</v>
      </c>
      <c r="C448" s="4" t="s">
        <v>495</v>
      </c>
      <c r="D448" s="4">
        <v>3</v>
      </c>
      <c r="E448" s="4">
        <v>1407</v>
      </c>
      <c r="F448" s="4">
        <v>20915097</v>
      </c>
      <c r="G448" s="4">
        <v>3</v>
      </c>
      <c r="H448" s="4">
        <v>1</v>
      </c>
      <c r="I448" s="4" t="s">
        <v>8</v>
      </c>
      <c r="J448" s="4" t="s">
        <v>23</v>
      </c>
      <c r="K448" s="4" t="s">
        <v>24</v>
      </c>
      <c r="L448" s="9">
        <v>44980</v>
      </c>
      <c r="M448" s="9" t="str">
        <f>TEXT(Source_data[[#This Row],[Listing_Date]],"mmm-yy")</f>
        <v>Feb-23</v>
      </c>
      <c r="N448" s="4">
        <f t="shared" si="6"/>
        <v>14865.029850746268</v>
      </c>
      <c r="O448" s="3" cm="1">
        <f t="array" ref="O448">_xlfn.IFS(AND(K448="Broker",J448="Resale"),F448*0.5,AND(K448="Owner",J448="Resale"),F448*0,AND(K448="Builder",J448="Resale"),F448*0.3,AND(J448="New",K448="Broker"),F448*0.1,AND(J448="New",K448="Owner"),F448*0,AND(J448="New",K448="Builder"),F448*0.5)</f>
        <v>6274529.0999999996</v>
      </c>
    </row>
    <row r="449" spans="1:15" x14ac:dyDescent="0.3">
      <c r="A449" s="8" t="s">
        <v>496</v>
      </c>
      <c r="B449" s="4" t="s">
        <v>487</v>
      </c>
      <c r="C449" s="4" t="s">
        <v>488</v>
      </c>
      <c r="D449" s="4">
        <v>3</v>
      </c>
      <c r="E449" s="4">
        <v>1343</v>
      </c>
      <c r="F449" s="4">
        <v>14267567</v>
      </c>
      <c r="G449" s="4">
        <v>2</v>
      </c>
      <c r="H449" s="4">
        <v>2</v>
      </c>
      <c r="I449" s="4" t="s">
        <v>18</v>
      </c>
      <c r="J449" s="4" t="s">
        <v>23</v>
      </c>
      <c r="K449" s="4" t="s">
        <v>20</v>
      </c>
      <c r="L449" s="9">
        <v>45270</v>
      </c>
      <c r="M449" s="9" t="str">
        <f>TEXT(Source_data[[#This Row],[Listing_Date]],"mmm-yy")</f>
        <v>Dec-23</v>
      </c>
      <c r="N449" s="4">
        <f t="shared" si="6"/>
        <v>10623.653760238272</v>
      </c>
      <c r="O449" s="3" cm="1">
        <f t="array" ref="O449">_xlfn.IFS(AND(K449="Broker",J449="Resale"),F449*0.5,AND(K449="Owner",J449="Resale"),F449*0,AND(K449="Builder",J449="Resale"),F449*0.3,AND(J449="New",K449="Broker"),F449*0.1,AND(J449="New",K449="Owner"),F449*0,AND(J449="New",K449="Builder"),F449*0.5)</f>
        <v>7133783.5</v>
      </c>
    </row>
    <row r="450" spans="1:15" x14ac:dyDescent="0.3">
      <c r="A450" s="8" t="s">
        <v>497</v>
      </c>
      <c r="B450" s="4" t="s">
        <v>487</v>
      </c>
      <c r="C450" s="4" t="s">
        <v>498</v>
      </c>
      <c r="D450" s="4">
        <v>3</v>
      </c>
      <c r="E450" s="4">
        <v>1014</v>
      </c>
      <c r="F450" s="4">
        <v>10415153</v>
      </c>
      <c r="G450" s="4">
        <v>2</v>
      </c>
      <c r="H450" s="4">
        <v>3</v>
      </c>
      <c r="I450" s="4" t="s">
        <v>18</v>
      </c>
      <c r="J450" s="4" t="s">
        <v>23</v>
      </c>
      <c r="K450" s="4" t="s">
        <v>36</v>
      </c>
      <c r="L450" s="9">
        <v>45650</v>
      </c>
      <c r="M450" s="9" t="str">
        <f>TEXT(Source_data[[#This Row],[Listing_Date]],"mmm-yy")</f>
        <v>Dec-24</v>
      </c>
      <c r="N450" s="4">
        <f t="shared" si="6"/>
        <v>10271.354043392505</v>
      </c>
      <c r="O450" s="3" cm="1">
        <f t="array" ref="O450">_xlfn.IFS(AND(K450="Broker",J450="Resale"),F450*0.5,AND(K450="Owner",J450="Resale"),F450*0,AND(K450="Builder",J450="Resale"),F450*0.3,AND(J450="New",K450="Broker"),F450*0.1,AND(J450="New",K450="Owner"),F450*0,AND(J450="New",K450="Builder"),F450*0.5)</f>
        <v>0</v>
      </c>
    </row>
    <row r="451" spans="1:15" x14ac:dyDescent="0.3">
      <c r="A451" s="8" t="s">
        <v>499</v>
      </c>
      <c r="B451" s="4" t="s">
        <v>487</v>
      </c>
      <c r="C451" s="4" t="s">
        <v>490</v>
      </c>
      <c r="D451" s="4">
        <v>3</v>
      </c>
      <c r="E451" s="4">
        <v>1173</v>
      </c>
      <c r="F451" s="4">
        <v>13194969</v>
      </c>
      <c r="G451" s="4">
        <v>3</v>
      </c>
      <c r="H451" s="4">
        <v>1</v>
      </c>
      <c r="I451" s="4" t="s">
        <v>27</v>
      </c>
      <c r="J451" s="4" t="s">
        <v>19</v>
      </c>
      <c r="K451" s="4" t="s">
        <v>20</v>
      </c>
      <c r="L451" s="9">
        <v>45694</v>
      </c>
      <c r="M451" s="9" t="str">
        <f>TEXT(Source_data[[#This Row],[Listing_Date]],"mmm-yy")</f>
        <v>Feb-25</v>
      </c>
      <c r="N451" s="4">
        <f t="shared" ref="N451:N514" si="7">F451/E451</f>
        <v>11248.907928388748</v>
      </c>
      <c r="O451" s="3" cm="1">
        <f t="array" ref="O451">_xlfn.IFS(AND(K451="Broker",J451="Resale"),F451*0.5,AND(K451="Owner",J451="Resale"),F451*0,AND(K451="Builder",J451="Resale"),F451*0.3,AND(J451="New",K451="Broker"),F451*0.1,AND(J451="New",K451="Owner"),F451*0,AND(J451="New",K451="Builder"),F451*0.5)</f>
        <v>1319496.9000000001</v>
      </c>
    </row>
    <row r="452" spans="1:15" x14ac:dyDescent="0.3">
      <c r="A452" s="8" t="s">
        <v>500</v>
      </c>
      <c r="B452" s="4" t="s">
        <v>487</v>
      </c>
      <c r="C452" s="4" t="s">
        <v>501</v>
      </c>
      <c r="D452" s="4">
        <v>3</v>
      </c>
      <c r="E452" s="4">
        <v>963</v>
      </c>
      <c r="F452" s="4">
        <v>10426863</v>
      </c>
      <c r="G452" s="4">
        <v>2</v>
      </c>
      <c r="H452" s="4">
        <v>4</v>
      </c>
      <c r="I452" s="4" t="s">
        <v>8</v>
      </c>
      <c r="J452" s="4" t="s">
        <v>19</v>
      </c>
      <c r="K452" s="4" t="s">
        <v>24</v>
      </c>
      <c r="L452" s="9">
        <v>45001</v>
      </c>
      <c r="M452" s="9" t="str">
        <f>TEXT(Source_data[[#This Row],[Listing_Date]],"mmm-yy")</f>
        <v>Mar-23</v>
      </c>
      <c r="N452" s="4">
        <f t="shared" si="7"/>
        <v>10827.479750778817</v>
      </c>
      <c r="O452" s="3" cm="1">
        <f t="array" ref="O452">_xlfn.IFS(AND(K452="Broker",J452="Resale"),F452*0.5,AND(K452="Owner",J452="Resale"),F452*0,AND(K452="Builder",J452="Resale"),F452*0.3,AND(J452="New",K452="Broker"),F452*0.1,AND(J452="New",K452="Owner"),F452*0,AND(J452="New",K452="Builder"),F452*0.5)</f>
        <v>5213431.5</v>
      </c>
    </row>
    <row r="453" spans="1:15" x14ac:dyDescent="0.3">
      <c r="A453" s="8" t="s">
        <v>502</v>
      </c>
      <c r="B453" s="4" t="s">
        <v>487</v>
      </c>
      <c r="C453" s="4" t="s">
        <v>501</v>
      </c>
      <c r="D453" s="4">
        <v>3</v>
      </c>
      <c r="E453" s="4">
        <v>1618</v>
      </c>
      <c r="F453" s="4">
        <v>15729906</v>
      </c>
      <c r="G453" s="4">
        <v>3</v>
      </c>
      <c r="H453" s="4">
        <v>1</v>
      </c>
      <c r="I453" s="4" t="s">
        <v>27</v>
      </c>
      <c r="J453" s="4" t="s">
        <v>23</v>
      </c>
      <c r="K453" s="4" t="s">
        <v>20</v>
      </c>
      <c r="L453" s="9">
        <v>45714</v>
      </c>
      <c r="M453" s="9" t="str">
        <f>TEXT(Source_data[[#This Row],[Listing_Date]],"mmm-yy")</f>
        <v>Feb-25</v>
      </c>
      <c r="N453" s="4">
        <f t="shared" si="7"/>
        <v>9721.820766378245</v>
      </c>
      <c r="O453" s="3" cm="1">
        <f t="array" ref="O453">_xlfn.IFS(AND(K453="Broker",J453="Resale"),F453*0.5,AND(K453="Owner",J453="Resale"),F453*0,AND(K453="Builder",J453="Resale"),F453*0.3,AND(J453="New",K453="Broker"),F453*0.1,AND(J453="New",K453="Owner"),F453*0,AND(J453="New",K453="Builder"),F453*0.5)</f>
        <v>7864953</v>
      </c>
    </row>
    <row r="454" spans="1:15" x14ac:dyDescent="0.3">
      <c r="A454" s="8" t="s">
        <v>503</v>
      </c>
      <c r="B454" s="4" t="s">
        <v>487</v>
      </c>
      <c r="C454" s="4" t="s">
        <v>495</v>
      </c>
      <c r="D454" s="4">
        <v>3</v>
      </c>
      <c r="E454" s="4">
        <v>1809</v>
      </c>
      <c r="F454" s="4">
        <v>25775506</v>
      </c>
      <c r="G454" s="4">
        <v>3</v>
      </c>
      <c r="H454" s="4">
        <v>1</v>
      </c>
      <c r="I454" s="4" t="s">
        <v>18</v>
      </c>
      <c r="J454" s="4" t="s">
        <v>23</v>
      </c>
      <c r="K454" s="4" t="s">
        <v>24</v>
      </c>
      <c r="L454" s="9">
        <v>45536</v>
      </c>
      <c r="M454" s="9" t="str">
        <f>TEXT(Source_data[[#This Row],[Listing_Date]],"mmm-yy")</f>
        <v>Sep-24</v>
      </c>
      <c r="N454" s="4">
        <f t="shared" si="7"/>
        <v>14248.483139856275</v>
      </c>
      <c r="O454" s="3" cm="1">
        <f t="array" ref="O454">_xlfn.IFS(AND(K454="Broker",J454="Resale"),F454*0.5,AND(K454="Owner",J454="Resale"),F454*0,AND(K454="Builder",J454="Resale"),F454*0.3,AND(J454="New",K454="Broker"),F454*0.1,AND(J454="New",K454="Owner"),F454*0,AND(J454="New",K454="Builder"),F454*0.5)</f>
        <v>7732651.7999999998</v>
      </c>
    </row>
    <row r="455" spans="1:15" x14ac:dyDescent="0.3">
      <c r="A455" s="8" t="s">
        <v>504</v>
      </c>
      <c r="B455" s="4" t="s">
        <v>487</v>
      </c>
      <c r="C455" s="4" t="s">
        <v>490</v>
      </c>
      <c r="D455" s="4">
        <v>3</v>
      </c>
      <c r="E455" s="4">
        <v>2143</v>
      </c>
      <c r="F455" s="4">
        <v>25957167</v>
      </c>
      <c r="G455" s="4">
        <v>4</v>
      </c>
      <c r="H455" s="4">
        <v>1</v>
      </c>
      <c r="I455" s="4" t="s">
        <v>18</v>
      </c>
      <c r="J455" s="4" t="s">
        <v>19</v>
      </c>
      <c r="K455" s="4" t="s">
        <v>36</v>
      </c>
      <c r="L455" s="9">
        <v>45667</v>
      </c>
      <c r="M455" s="9" t="str">
        <f>TEXT(Source_data[[#This Row],[Listing_Date]],"mmm-yy")</f>
        <v>Jan-25</v>
      </c>
      <c r="N455" s="4">
        <f t="shared" si="7"/>
        <v>12112.537097526832</v>
      </c>
      <c r="O455" s="3" cm="1">
        <f t="array" ref="O455">_xlfn.IFS(AND(K455="Broker",J455="Resale"),F455*0.5,AND(K455="Owner",J455="Resale"),F455*0,AND(K455="Builder",J455="Resale"),F455*0.3,AND(J455="New",K455="Broker"),F455*0.1,AND(J455="New",K455="Owner"),F455*0,AND(J455="New",K455="Builder"),F455*0.5)</f>
        <v>0</v>
      </c>
    </row>
    <row r="456" spans="1:15" x14ac:dyDescent="0.3">
      <c r="A456" s="8" t="s">
        <v>505</v>
      </c>
      <c r="B456" s="4" t="s">
        <v>487</v>
      </c>
      <c r="C456" s="4" t="s">
        <v>492</v>
      </c>
      <c r="D456" s="4">
        <v>4</v>
      </c>
      <c r="E456" s="4">
        <v>2371</v>
      </c>
      <c r="F456" s="4">
        <v>31050140</v>
      </c>
      <c r="G456" s="4">
        <v>3</v>
      </c>
      <c r="H456" s="4">
        <v>1</v>
      </c>
      <c r="I456" s="4" t="s">
        <v>8</v>
      </c>
      <c r="J456" s="4" t="s">
        <v>23</v>
      </c>
      <c r="K456" s="4" t="s">
        <v>20</v>
      </c>
      <c r="L456" s="9">
        <v>45095</v>
      </c>
      <c r="M456" s="9" t="str">
        <f>TEXT(Source_data[[#This Row],[Listing_Date]],"mmm-yy")</f>
        <v>Jun-23</v>
      </c>
      <c r="N456" s="4">
        <f t="shared" si="7"/>
        <v>13095.799240826655</v>
      </c>
      <c r="O456" s="3" cm="1">
        <f t="array" ref="O456">_xlfn.IFS(AND(K456="Broker",J456="Resale"),F456*0.5,AND(K456="Owner",J456="Resale"),F456*0,AND(K456="Builder",J456="Resale"),F456*0.3,AND(J456="New",K456="Broker"),F456*0.1,AND(J456="New",K456="Owner"),F456*0,AND(J456="New",K456="Builder"),F456*0.5)</f>
        <v>15525070</v>
      </c>
    </row>
    <row r="457" spans="1:15" x14ac:dyDescent="0.3">
      <c r="A457" s="8" t="s">
        <v>506</v>
      </c>
      <c r="B457" s="4" t="s">
        <v>487</v>
      </c>
      <c r="C457" s="4" t="s">
        <v>492</v>
      </c>
      <c r="D457" s="4">
        <v>3</v>
      </c>
      <c r="E457" s="4">
        <v>1220</v>
      </c>
      <c r="F457" s="4">
        <v>16652682</v>
      </c>
      <c r="G457" s="4">
        <v>3</v>
      </c>
      <c r="H457" s="4">
        <v>1</v>
      </c>
      <c r="I457" s="4" t="s">
        <v>8</v>
      </c>
      <c r="J457" s="4" t="s">
        <v>19</v>
      </c>
      <c r="K457" s="4" t="s">
        <v>20</v>
      </c>
      <c r="L457" s="9">
        <v>45119</v>
      </c>
      <c r="M457" s="9" t="str">
        <f>TEXT(Source_data[[#This Row],[Listing_Date]],"mmm-yy")</f>
        <v>Jul-23</v>
      </c>
      <c r="N457" s="4">
        <f t="shared" si="7"/>
        <v>13649.739344262294</v>
      </c>
      <c r="O457" s="3" cm="1">
        <f t="array" ref="O457">_xlfn.IFS(AND(K457="Broker",J457="Resale"),F457*0.5,AND(K457="Owner",J457="Resale"),F457*0,AND(K457="Builder",J457="Resale"),F457*0.3,AND(J457="New",K457="Broker"),F457*0.1,AND(J457="New",K457="Owner"),F457*0,AND(J457="New",K457="Builder"),F457*0.5)</f>
        <v>1665268.2000000002</v>
      </c>
    </row>
    <row r="458" spans="1:15" x14ac:dyDescent="0.3">
      <c r="A458" s="8" t="s">
        <v>507</v>
      </c>
      <c r="B458" s="4" t="s">
        <v>487</v>
      </c>
      <c r="C458" s="4" t="s">
        <v>492</v>
      </c>
      <c r="D458" s="4">
        <v>2</v>
      </c>
      <c r="E458" s="4">
        <v>1139</v>
      </c>
      <c r="F458" s="4">
        <v>17390253</v>
      </c>
      <c r="G458" s="4">
        <v>1</v>
      </c>
      <c r="H458" s="4">
        <v>2</v>
      </c>
      <c r="I458" s="4" t="s">
        <v>8</v>
      </c>
      <c r="J458" s="4" t="s">
        <v>19</v>
      </c>
      <c r="K458" s="4" t="s">
        <v>20</v>
      </c>
      <c r="L458" s="9">
        <v>45858</v>
      </c>
      <c r="M458" s="9" t="str">
        <f>TEXT(Source_data[[#This Row],[Listing_Date]],"mmm-yy")</f>
        <v>Jul-25</v>
      </c>
      <c r="N458" s="4">
        <f t="shared" si="7"/>
        <v>15268.000877963126</v>
      </c>
      <c r="O458" s="3" cm="1">
        <f t="array" ref="O458">_xlfn.IFS(AND(K458="Broker",J458="Resale"),F458*0.5,AND(K458="Owner",J458="Resale"),F458*0,AND(K458="Builder",J458="Resale"),F458*0.3,AND(J458="New",K458="Broker"),F458*0.1,AND(J458="New",K458="Owner"),F458*0,AND(J458="New",K458="Builder"),F458*0.5)</f>
        <v>1739025.3</v>
      </c>
    </row>
    <row r="459" spans="1:15" x14ac:dyDescent="0.3">
      <c r="A459" s="8" t="s">
        <v>508</v>
      </c>
      <c r="B459" s="4" t="s">
        <v>487</v>
      </c>
      <c r="C459" s="4" t="s">
        <v>488</v>
      </c>
      <c r="D459" s="4">
        <v>2</v>
      </c>
      <c r="E459" s="4">
        <v>1238</v>
      </c>
      <c r="F459" s="4">
        <v>53465650</v>
      </c>
      <c r="G459" s="4">
        <v>2</v>
      </c>
      <c r="H459" s="4">
        <v>2</v>
      </c>
      <c r="I459" s="4" t="s">
        <v>18</v>
      </c>
      <c r="J459" s="4" t="s">
        <v>19</v>
      </c>
      <c r="K459" s="4" t="s">
        <v>20</v>
      </c>
      <c r="L459" s="9">
        <v>45347</v>
      </c>
      <c r="M459" s="9" t="str">
        <f>TEXT(Source_data[[#This Row],[Listing_Date]],"mmm-yy")</f>
        <v>Feb-24</v>
      </c>
      <c r="N459" s="4">
        <f t="shared" si="7"/>
        <v>43187.116316639738</v>
      </c>
      <c r="O459" s="3" cm="1">
        <f t="array" ref="O459">_xlfn.IFS(AND(K459="Broker",J459="Resale"),F459*0.5,AND(K459="Owner",J459="Resale"),F459*0,AND(K459="Builder",J459="Resale"),F459*0.3,AND(J459="New",K459="Broker"),F459*0.1,AND(J459="New",K459="Owner"),F459*0,AND(J459="New",K459="Builder"),F459*0.5)</f>
        <v>5346565</v>
      </c>
    </row>
    <row r="460" spans="1:15" x14ac:dyDescent="0.3">
      <c r="A460" s="8" t="s">
        <v>509</v>
      </c>
      <c r="B460" s="4" t="s">
        <v>487</v>
      </c>
      <c r="C460" s="4" t="s">
        <v>498</v>
      </c>
      <c r="D460" s="4">
        <v>3</v>
      </c>
      <c r="E460" s="4">
        <v>1015</v>
      </c>
      <c r="F460" s="4">
        <v>11671446</v>
      </c>
      <c r="G460" s="4">
        <v>3</v>
      </c>
      <c r="H460" s="4">
        <v>1</v>
      </c>
      <c r="I460" s="4" t="s">
        <v>27</v>
      </c>
      <c r="J460" s="4" t="s">
        <v>19</v>
      </c>
      <c r="K460" s="4" t="s">
        <v>24</v>
      </c>
      <c r="L460" s="9">
        <v>45609</v>
      </c>
      <c r="M460" s="9" t="str">
        <f>TEXT(Source_data[[#This Row],[Listing_Date]],"mmm-yy")</f>
        <v>Nov-24</v>
      </c>
      <c r="N460" s="4">
        <f t="shared" si="7"/>
        <v>11498.961576354679</v>
      </c>
      <c r="O460" s="3" cm="1">
        <f t="array" ref="O460">_xlfn.IFS(AND(K460="Broker",J460="Resale"),F460*0.5,AND(K460="Owner",J460="Resale"),F460*0,AND(K460="Builder",J460="Resale"),F460*0.3,AND(J460="New",K460="Broker"),F460*0.1,AND(J460="New",K460="Owner"),F460*0,AND(J460="New",K460="Builder"),F460*0.5)</f>
        <v>5835723</v>
      </c>
    </row>
    <row r="461" spans="1:15" x14ac:dyDescent="0.3">
      <c r="A461" s="8" t="s">
        <v>510</v>
      </c>
      <c r="B461" s="4" t="s">
        <v>487</v>
      </c>
      <c r="C461" s="4" t="s">
        <v>501</v>
      </c>
      <c r="D461" s="4">
        <v>2</v>
      </c>
      <c r="E461" s="4">
        <v>1019</v>
      </c>
      <c r="F461" s="4">
        <v>13989422</v>
      </c>
      <c r="G461" s="4">
        <v>2</v>
      </c>
      <c r="H461" s="4">
        <v>2</v>
      </c>
      <c r="I461" s="4" t="s">
        <v>18</v>
      </c>
      <c r="J461" s="4" t="s">
        <v>23</v>
      </c>
      <c r="K461" s="4" t="s">
        <v>24</v>
      </c>
      <c r="L461" s="9">
        <v>45320</v>
      </c>
      <c r="M461" s="9" t="str">
        <f>TEXT(Source_data[[#This Row],[Listing_Date]],"mmm-yy")</f>
        <v>Jan-24</v>
      </c>
      <c r="N461" s="4">
        <f t="shared" si="7"/>
        <v>13728.578999018646</v>
      </c>
      <c r="O461" s="3" cm="1">
        <f t="array" ref="O461">_xlfn.IFS(AND(K461="Broker",J461="Resale"),F461*0.5,AND(K461="Owner",J461="Resale"),F461*0,AND(K461="Builder",J461="Resale"),F461*0.3,AND(J461="New",K461="Broker"),F461*0.1,AND(J461="New",K461="Owner"),F461*0,AND(J461="New",K461="Builder"),F461*0.5)</f>
        <v>4196826.5999999996</v>
      </c>
    </row>
    <row r="462" spans="1:15" x14ac:dyDescent="0.3">
      <c r="A462" s="8" t="s">
        <v>511</v>
      </c>
      <c r="B462" s="4" t="s">
        <v>487</v>
      </c>
      <c r="C462" s="4" t="s">
        <v>488</v>
      </c>
      <c r="D462" s="4">
        <v>3</v>
      </c>
      <c r="E462" s="4">
        <v>1650</v>
      </c>
      <c r="F462" s="4">
        <v>21237430</v>
      </c>
      <c r="G462" s="4">
        <v>3</v>
      </c>
      <c r="H462" s="4">
        <v>3</v>
      </c>
      <c r="I462" s="4" t="s">
        <v>27</v>
      </c>
      <c r="J462" s="4" t="s">
        <v>23</v>
      </c>
      <c r="K462" s="4" t="s">
        <v>24</v>
      </c>
      <c r="L462" s="9">
        <v>45519</v>
      </c>
      <c r="M462" s="9" t="str">
        <f>TEXT(Source_data[[#This Row],[Listing_Date]],"mmm-yy")</f>
        <v>Aug-24</v>
      </c>
      <c r="N462" s="4">
        <f t="shared" si="7"/>
        <v>12871.169696969697</v>
      </c>
      <c r="O462" s="3" cm="1">
        <f t="array" ref="O462">_xlfn.IFS(AND(K462="Broker",J462="Resale"),F462*0.5,AND(K462="Owner",J462="Resale"),F462*0,AND(K462="Builder",J462="Resale"),F462*0.3,AND(J462="New",K462="Broker"),F462*0.1,AND(J462="New",K462="Owner"),F462*0,AND(J462="New",K462="Builder"),F462*0.5)</f>
        <v>6371229</v>
      </c>
    </row>
    <row r="463" spans="1:15" x14ac:dyDescent="0.3">
      <c r="A463" s="8" t="s">
        <v>512</v>
      </c>
      <c r="B463" s="4" t="s">
        <v>487</v>
      </c>
      <c r="C463" s="4" t="s">
        <v>495</v>
      </c>
      <c r="D463" s="4">
        <v>4</v>
      </c>
      <c r="E463" s="4">
        <v>2087</v>
      </c>
      <c r="F463" s="4">
        <v>25174902</v>
      </c>
      <c r="G463" s="4">
        <v>3</v>
      </c>
      <c r="H463" s="4">
        <v>2</v>
      </c>
      <c r="I463" s="4" t="s">
        <v>18</v>
      </c>
      <c r="J463" s="4" t="s">
        <v>19</v>
      </c>
      <c r="K463" s="4" t="s">
        <v>36</v>
      </c>
      <c r="L463" s="9">
        <v>45413</v>
      </c>
      <c r="M463" s="9" t="str">
        <f>TEXT(Source_data[[#This Row],[Listing_Date]],"mmm-yy")</f>
        <v>May-24</v>
      </c>
      <c r="N463" s="4">
        <f t="shared" si="7"/>
        <v>12062.722568279827</v>
      </c>
      <c r="O463" s="3" cm="1">
        <f t="array" ref="O463">_xlfn.IFS(AND(K463="Broker",J463="Resale"),F463*0.5,AND(K463="Owner",J463="Resale"),F463*0,AND(K463="Builder",J463="Resale"),F463*0.3,AND(J463="New",K463="Broker"),F463*0.1,AND(J463="New",K463="Owner"),F463*0,AND(J463="New",K463="Builder"),F463*0.5)</f>
        <v>0</v>
      </c>
    </row>
    <row r="464" spans="1:15" x14ac:dyDescent="0.3">
      <c r="A464" s="8" t="s">
        <v>513</v>
      </c>
      <c r="B464" s="4" t="s">
        <v>487</v>
      </c>
      <c r="C464" s="4" t="s">
        <v>498</v>
      </c>
      <c r="D464" s="4">
        <v>4</v>
      </c>
      <c r="E464" s="4">
        <v>1217</v>
      </c>
      <c r="F464" s="4">
        <v>13451287</v>
      </c>
      <c r="G464" s="4">
        <v>3</v>
      </c>
      <c r="H464" s="4">
        <v>1</v>
      </c>
      <c r="I464" s="4" t="s">
        <v>27</v>
      </c>
      <c r="J464" s="4" t="s">
        <v>19</v>
      </c>
      <c r="K464" s="4" t="s">
        <v>20</v>
      </c>
      <c r="L464" s="9">
        <v>45082</v>
      </c>
      <c r="M464" s="9" t="str">
        <f>TEXT(Source_data[[#This Row],[Listing_Date]],"mmm-yy")</f>
        <v>Jun-23</v>
      </c>
      <c r="N464" s="4">
        <f t="shared" si="7"/>
        <v>11052.824157764995</v>
      </c>
      <c r="O464" s="3" cm="1">
        <f t="array" ref="O464">_xlfn.IFS(AND(K464="Broker",J464="Resale"),F464*0.5,AND(K464="Owner",J464="Resale"),F464*0,AND(K464="Builder",J464="Resale"),F464*0.3,AND(J464="New",K464="Broker"),F464*0.1,AND(J464="New",K464="Owner"),F464*0,AND(J464="New",K464="Builder"),F464*0.5)</f>
        <v>1345128.7000000002</v>
      </c>
    </row>
    <row r="465" spans="1:15" x14ac:dyDescent="0.3">
      <c r="A465" s="8" t="s">
        <v>514</v>
      </c>
      <c r="B465" s="4" t="s">
        <v>487</v>
      </c>
      <c r="C465" s="4" t="s">
        <v>501</v>
      </c>
      <c r="D465" s="4">
        <v>2</v>
      </c>
      <c r="E465" s="4">
        <v>1120</v>
      </c>
      <c r="F465" s="4">
        <v>38692077</v>
      </c>
      <c r="G465" s="4">
        <v>3</v>
      </c>
      <c r="H465" s="4">
        <v>2</v>
      </c>
      <c r="I465" s="4" t="s">
        <v>27</v>
      </c>
      <c r="J465" s="4" t="s">
        <v>23</v>
      </c>
      <c r="K465" s="4" t="s">
        <v>24</v>
      </c>
      <c r="L465" s="9">
        <v>45800</v>
      </c>
      <c r="M465" s="9" t="str">
        <f>TEXT(Source_data[[#This Row],[Listing_Date]],"mmm-yy")</f>
        <v>May-25</v>
      </c>
      <c r="N465" s="4">
        <f t="shared" si="7"/>
        <v>34546.497321428571</v>
      </c>
      <c r="O465" s="3" cm="1">
        <f t="array" ref="O465">_xlfn.IFS(AND(K465="Broker",J465="Resale"),F465*0.5,AND(K465="Owner",J465="Resale"),F465*0,AND(K465="Builder",J465="Resale"),F465*0.3,AND(J465="New",K465="Broker"),F465*0.1,AND(J465="New",K465="Owner"),F465*0,AND(J465="New",K465="Builder"),F465*0.5)</f>
        <v>11607623.1</v>
      </c>
    </row>
    <row r="466" spans="1:15" x14ac:dyDescent="0.3">
      <c r="A466" s="8" t="s">
        <v>515</v>
      </c>
      <c r="B466" s="4" t="s">
        <v>487</v>
      </c>
      <c r="C466" s="4" t="s">
        <v>495</v>
      </c>
      <c r="D466" s="4">
        <v>3</v>
      </c>
      <c r="E466" s="4">
        <v>1266</v>
      </c>
      <c r="F466" s="4">
        <v>19585559</v>
      </c>
      <c r="G466" s="4">
        <v>4</v>
      </c>
      <c r="H466" s="4">
        <v>1</v>
      </c>
      <c r="I466" s="4" t="s">
        <v>27</v>
      </c>
      <c r="J466" s="4" t="s">
        <v>23</v>
      </c>
      <c r="K466" s="4" t="s">
        <v>24</v>
      </c>
      <c r="L466" s="9">
        <v>45875</v>
      </c>
      <c r="M466" s="9" t="str">
        <f>TEXT(Source_data[[#This Row],[Listing_Date]],"mmm-yy")</f>
        <v>Aug-25</v>
      </c>
      <c r="N466" s="4">
        <f t="shared" si="7"/>
        <v>15470.425750394945</v>
      </c>
      <c r="O466" s="3" cm="1">
        <f t="array" ref="O466">_xlfn.IFS(AND(K466="Broker",J466="Resale"),F466*0.5,AND(K466="Owner",J466="Resale"),F466*0,AND(K466="Builder",J466="Resale"),F466*0.3,AND(J466="New",K466="Broker"),F466*0.1,AND(J466="New",K466="Owner"),F466*0,AND(J466="New",K466="Builder"),F466*0.5)</f>
        <v>5875667.7000000002</v>
      </c>
    </row>
    <row r="467" spans="1:15" x14ac:dyDescent="0.3">
      <c r="A467" s="8" t="s">
        <v>516</v>
      </c>
      <c r="B467" s="4" t="s">
        <v>487</v>
      </c>
      <c r="C467" s="4" t="s">
        <v>492</v>
      </c>
      <c r="D467" s="4">
        <v>3</v>
      </c>
      <c r="E467" s="4">
        <v>1029</v>
      </c>
      <c r="F467" s="4">
        <v>13860753</v>
      </c>
      <c r="G467" s="4">
        <v>4</v>
      </c>
      <c r="H467" s="4">
        <v>3</v>
      </c>
      <c r="I467" s="4" t="s">
        <v>18</v>
      </c>
      <c r="J467" s="4" t="s">
        <v>19</v>
      </c>
      <c r="K467" s="4" t="s">
        <v>36</v>
      </c>
      <c r="L467" s="9">
        <v>45124</v>
      </c>
      <c r="M467" s="9" t="str">
        <f>TEXT(Source_data[[#This Row],[Listing_Date]],"mmm-yy")</f>
        <v>Jul-23</v>
      </c>
      <c r="N467" s="4">
        <f t="shared" si="7"/>
        <v>13470.119533527697</v>
      </c>
      <c r="O467" s="3" cm="1">
        <f t="array" ref="O467">_xlfn.IFS(AND(K467="Broker",J467="Resale"),F467*0.5,AND(K467="Owner",J467="Resale"),F467*0,AND(K467="Builder",J467="Resale"),F467*0.3,AND(J467="New",K467="Broker"),F467*0.1,AND(J467="New",K467="Owner"),F467*0,AND(J467="New",K467="Builder"),F467*0.5)</f>
        <v>0</v>
      </c>
    </row>
    <row r="468" spans="1:15" x14ac:dyDescent="0.3">
      <c r="A468" s="8" t="s">
        <v>517</v>
      </c>
      <c r="B468" s="4" t="s">
        <v>487</v>
      </c>
      <c r="C468" s="4" t="s">
        <v>498</v>
      </c>
      <c r="D468" s="4">
        <v>5</v>
      </c>
      <c r="E468" s="4">
        <v>1626</v>
      </c>
      <c r="F468" s="4">
        <v>19643099</v>
      </c>
      <c r="G468" s="4">
        <v>2</v>
      </c>
      <c r="H468" s="4">
        <v>2</v>
      </c>
      <c r="I468" s="4" t="s">
        <v>27</v>
      </c>
      <c r="J468" s="4" t="s">
        <v>23</v>
      </c>
      <c r="K468" s="4" t="s">
        <v>24</v>
      </c>
      <c r="L468" s="9">
        <v>45446</v>
      </c>
      <c r="M468" s="9" t="str">
        <f>TEXT(Source_data[[#This Row],[Listing_Date]],"mmm-yy")</f>
        <v>Jun-24</v>
      </c>
      <c r="N468" s="4">
        <f t="shared" si="7"/>
        <v>12080.626691266913</v>
      </c>
      <c r="O468" s="3" cm="1">
        <f t="array" ref="O468">_xlfn.IFS(AND(K468="Broker",J468="Resale"),F468*0.5,AND(K468="Owner",J468="Resale"),F468*0,AND(K468="Builder",J468="Resale"),F468*0.3,AND(J468="New",K468="Broker"),F468*0.1,AND(J468="New",K468="Owner"),F468*0,AND(J468="New",K468="Builder"),F468*0.5)</f>
        <v>5892929.7000000002</v>
      </c>
    </row>
    <row r="469" spans="1:15" x14ac:dyDescent="0.3">
      <c r="A469" s="8" t="s">
        <v>518</v>
      </c>
      <c r="B469" s="4" t="s">
        <v>487</v>
      </c>
      <c r="C469" s="4" t="s">
        <v>498</v>
      </c>
      <c r="D469" s="4">
        <v>2</v>
      </c>
      <c r="E469" s="4">
        <v>1026</v>
      </c>
      <c r="F469" s="4">
        <v>11602373</v>
      </c>
      <c r="G469" s="4">
        <v>2</v>
      </c>
      <c r="H469" s="4">
        <v>2</v>
      </c>
      <c r="I469" s="4" t="s">
        <v>8</v>
      </c>
      <c r="J469" s="4" t="s">
        <v>23</v>
      </c>
      <c r="K469" s="4" t="s">
        <v>36</v>
      </c>
      <c r="L469" s="9">
        <v>45885</v>
      </c>
      <c r="M469" s="9" t="str">
        <f>TEXT(Source_data[[#This Row],[Listing_Date]],"mmm-yy")</f>
        <v>Aug-25</v>
      </c>
      <c r="N469" s="4">
        <f t="shared" si="7"/>
        <v>11308.35575048733</v>
      </c>
      <c r="O469" s="3" cm="1">
        <f t="array" ref="O469">_xlfn.IFS(AND(K469="Broker",J469="Resale"),F469*0.5,AND(K469="Owner",J469="Resale"),F469*0,AND(K469="Builder",J469="Resale"),F469*0.3,AND(J469="New",K469="Broker"),F469*0.1,AND(J469="New",K469="Owner"),F469*0,AND(J469="New",K469="Builder"),F469*0.5)</f>
        <v>0</v>
      </c>
    </row>
    <row r="470" spans="1:15" x14ac:dyDescent="0.3">
      <c r="A470" s="8" t="s">
        <v>519</v>
      </c>
      <c r="B470" s="4" t="s">
        <v>487</v>
      </c>
      <c r="C470" s="4" t="s">
        <v>490</v>
      </c>
      <c r="D470" s="4">
        <v>3</v>
      </c>
      <c r="E470" s="4">
        <v>1820</v>
      </c>
      <c r="F470" s="4">
        <v>25147603</v>
      </c>
      <c r="G470" s="4">
        <v>2</v>
      </c>
      <c r="H470" s="4">
        <v>1</v>
      </c>
      <c r="I470" s="4" t="s">
        <v>8</v>
      </c>
      <c r="J470" s="4" t="s">
        <v>19</v>
      </c>
      <c r="K470" s="4" t="s">
        <v>24</v>
      </c>
      <c r="L470" s="9">
        <v>45624</v>
      </c>
      <c r="M470" s="9" t="str">
        <f>TEXT(Source_data[[#This Row],[Listing_Date]],"mmm-yy")</f>
        <v>Nov-24</v>
      </c>
      <c r="N470" s="4">
        <f t="shared" si="7"/>
        <v>13817.364285714286</v>
      </c>
      <c r="O470" s="3" cm="1">
        <f t="array" ref="O470">_xlfn.IFS(AND(K470="Broker",J470="Resale"),F470*0.5,AND(K470="Owner",J470="Resale"),F470*0,AND(K470="Builder",J470="Resale"),F470*0.3,AND(J470="New",K470="Broker"),F470*0.1,AND(J470="New",K470="Owner"),F470*0,AND(J470="New",K470="Builder"),F470*0.5)</f>
        <v>12573801.5</v>
      </c>
    </row>
    <row r="471" spans="1:15" x14ac:dyDescent="0.3">
      <c r="A471" s="8" t="s">
        <v>520</v>
      </c>
      <c r="B471" s="4" t="s">
        <v>487</v>
      </c>
      <c r="C471" s="4" t="s">
        <v>495</v>
      </c>
      <c r="D471" s="4">
        <v>2</v>
      </c>
      <c r="E471" s="4">
        <v>769</v>
      </c>
      <c r="F471" s="4">
        <v>7868379</v>
      </c>
      <c r="G471" s="4">
        <v>2</v>
      </c>
      <c r="H471" s="4">
        <v>1</v>
      </c>
      <c r="I471" s="4" t="s">
        <v>8</v>
      </c>
      <c r="J471" s="4" t="s">
        <v>19</v>
      </c>
      <c r="K471" s="4" t="s">
        <v>36</v>
      </c>
      <c r="L471" s="9">
        <v>45542</v>
      </c>
      <c r="M471" s="9" t="str">
        <f>TEXT(Source_data[[#This Row],[Listing_Date]],"mmm-yy")</f>
        <v>Sep-24</v>
      </c>
      <c r="N471" s="4">
        <f t="shared" si="7"/>
        <v>10231.962288686605</v>
      </c>
      <c r="O471" s="3" cm="1">
        <f t="array" ref="O471">_xlfn.IFS(AND(K471="Broker",J471="Resale"),F471*0.5,AND(K471="Owner",J471="Resale"),F471*0,AND(K471="Builder",J471="Resale"),F471*0.3,AND(J471="New",K471="Broker"),F471*0.1,AND(J471="New",K471="Owner"),F471*0,AND(J471="New",K471="Builder"),F471*0.5)</f>
        <v>0</v>
      </c>
    </row>
    <row r="472" spans="1:15" x14ac:dyDescent="0.3">
      <c r="A472" s="8" t="s">
        <v>521</v>
      </c>
      <c r="B472" s="4" t="s">
        <v>487</v>
      </c>
      <c r="C472" s="4" t="s">
        <v>488</v>
      </c>
      <c r="D472" s="4">
        <v>1</v>
      </c>
      <c r="E472" s="4">
        <v>866</v>
      </c>
      <c r="F472" s="4">
        <v>8192072</v>
      </c>
      <c r="G472" s="4">
        <v>2</v>
      </c>
      <c r="H472" s="4">
        <v>2</v>
      </c>
      <c r="I472" s="4" t="s">
        <v>8</v>
      </c>
      <c r="J472" s="4" t="s">
        <v>19</v>
      </c>
      <c r="K472" s="4" t="s">
        <v>20</v>
      </c>
      <c r="L472" s="9">
        <v>45882</v>
      </c>
      <c r="M472" s="9" t="str">
        <f>TEXT(Source_data[[#This Row],[Listing_Date]],"mmm-yy")</f>
        <v>Aug-25</v>
      </c>
      <c r="N472" s="4">
        <f t="shared" si="7"/>
        <v>9459.667436489608</v>
      </c>
      <c r="O472" s="3" cm="1">
        <f t="array" ref="O472">_xlfn.IFS(AND(K472="Broker",J472="Resale"),F472*0.5,AND(K472="Owner",J472="Resale"),F472*0,AND(K472="Builder",J472="Resale"),F472*0.3,AND(J472="New",K472="Broker"),F472*0.1,AND(J472="New",K472="Owner"),F472*0,AND(J472="New",K472="Builder"),F472*0.5)</f>
        <v>819207.20000000007</v>
      </c>
    </row>
    <row r="473" spans="1:15" x14ac:dyDescent="0.3">
      <c r="A473" s="8" t="s">
        <v>522</v>
      </c>
      <c r="B473" s="4" t="s">
        <v>487</v>
      </c>
      <c r="C473" s="4" t="s">
        <v>498</v>
      </c>
      <c r="D473" s="4">
        <v>4</v>
      </c>
      <c r="E473" s="4">
        <v>1735</v>
      </c>
      <c r="F473" s="4">
        <v>44803547</v>
      </c>
      <c r="G473" s="4">
        <v>3</v>
      </c>
      <c r="H473" s="4">
        <v>3</v>
      </c>
      <c r="I473" s="4" t="s">
        <v>8</v>
      </c>
      <c r="J473" s="4" t="s">
        <v>23</v>
      </c>
      <c r="K473" s="4" t="s">
        <v>24</v>
      </c>
      <c r="L473" s="9">
        <v>45457</v>
      </c>
      <c r="M473" s="9" t="str">
        <f>TEXT(Source_data[[#This Row],[Listing_Date]],"mmm-yy")</f>
        <v>Jun-24</v>
      </c>
      <c r="N473" s="4">
        <f t="shared" si="7"/>
        <v>25823.370028818445</v>
      </c>
      <c r="O473" s="3" cm="1">
        <f t="array" ref="O473">_xlfn.IFS(AND(K473="Broker",J473="Resale"),F473*0.5,AND(K473="Owner",J473="Resale"),F473*0,AND(K473="Builder",J473="Resale"),F473*0.3,AND(J473="New",K473="Broker"),F473*0.1,AND(J473="New",K473="Owner"),F473*0,AND(J473="New",K473="Builder"),F473*0.5)</f>
        <v>13441064.1</v>
      </c>
    </row>
    <row r="474" spans="1:15" x14ac:dyDescent="0.3">
      <c r="A474" s="8" t="s">
        <v>523</v>
      </c>
      <c r="B474" s="4" t="s">
        <v>487</v>
      </c>
      <c r="C474" s="4" t="s">
        <v>498</v>
      </c>
      <c r="D474" s="4">
        <v>2</v>
      </c>
      <c r="E474" s="4">
        <v>1169</v>
      </c>
      <c r="F474" s="4">
        <v>13181089</v>
      </c>
      <c r="G474" s="4">
        <v>2</v>
      </c>
      <c r="H474" s="4">
        <v>2</v>
      </c>
      <c r="I474" s="4" t="s">
        <v>18</v>
      </c>
      <c r="J474" s="4" t="s">
        <v>19</v>
      </c>
      <c r="K474" s="4" t="s">
        <v>24</v>
      </c>
      <c r="L474" s="9">
        <v>44982</v>
      </c>
      <c r="M474" s="9" t="str">
        <f>TEXT(Source_data[[#This Row],[Listing_Date]],"mmm-yy")</f>
        <v>Feb-23</v>
      </c>
      <c r="N474" s="4">
        <f t="shared" si="7"/>
        <v>11275.525235243798</v>
      </c>
      <c r="O474" s="3" cm="1">
        <f t="array" ref="O474">_xlfn.IFS(AND(K474="Broker",J474="Resale"),F474*0.5,AND(K474="Owner",J474="Resale"),F474*0,AND(K474="Builder",J474="Resale"),F474*0.3,AND(J474="New",K474="Broker"),F474*0.1,AND(J474="New",K474="Owner"),F474*0,AND(J474="New",K474="Builder"),F474*0.5)</f>
        <v>6590544.5</v>
      </c>
    </row>
    <row r="475" spans="1:15" x14ac:dyDescent="0.3">
      <c r="A475" s="8" t="s">
        <v>524</v>
      </c>
      <c r="B475" s="4" t="s">
        <v>487</v>
      </c>
      <c r="C475" s="4" t="s">
        <v>488</v>
      </c>
      <c r="D475" s="4">
        <v>3</v>
      </c>
      <c r="E475" s="4">
        <v>1927</v>
      </c>
      <c r="F475" s="4">
        <v>20260422</v>
      </c>
      <c r="G475" s="4">
        <v>3</v>
      </c>
      <c r="H475" s="4">
        <v>3</v>
      </c>
      <c r="I475" s="4" t="s">
        <v>27</v>
      </c>
      <c r="J475" s="4" t="s">
        <v>19</v>
      </c>
      <c r="K475" s="4" t="s">
        <v>20</v>
      </c>
      <c r="L475" s="9">
        <v>45898</v>
      </c>
      <c r="M475" s="9" t="str">
        <f>TEXT(Source_data[[#This Row],[Listing_Date]],"mmm-yy")</f>
        <v>Aug-25</v>
      </c>
      <c r="N475" s="4">
        <f t="shared" si="7"/>
        <v>10513.970939283861</v>
      </c>
      <c r="O475" s="3" cm="1">
        <f t="array" ref="O475">_xlfn.IFS(AND(K475="Broker",J475="Resale"),F475*0.5,AND(K475="Owner",J475="Resale"),F475*0,AND(K475="Builder",J475="Resale"),F475*0.3,AND(J475="New",K475="Broker"),F475*0.1,AND(J475="New",K475="Owner"),F475*0,AND(J475="New",K475="Builder"),F475*0.5)</f>
        <v>2026042.2000000002</v>
      </c>
    </row>
    <row r="476" spans="1:15" x14ac:dyDescent="0.3">
      <c r="A476" s="8" t="s">
        <v>525</v>
      </c>
      <c r="B476" s="4" t="s">
        <v>487</v>
      </c>
      <c r="C476" s="4" t="s">
        <v>492</v>
      </c>
      <c r="D476" s="4">
        <v>4</v>
      </c>
      <c r="E476" s="4">
        <v>1372</v>
      </c>
      <c r="F476" s="4">
        <v>21120577</v>
      </c>
      <c r="G476" s="4">
        <v>3</v>
      </c>
      <c r="H476" s="4">
        <v>1</v>
      </c>
      <c r="I476" s="4" t="s">
        <v>27</v>
      </c>
      <c r="J476" s="4" t="s">
        <v>19</v>
      </c>
      <c r="K476" s="4" t="s">
        <v>20</v>
      </c>
      <c r="L476" s="9">
        <v>45539</v>
      </c>
      <c r="M476" s="9" t="str">
        <f>TEXT(Source_data[[#This Row],[Listing_Date]],"mmm-yy")</f>
        <v>Sep-24</v>
      </c>
      <c r="N476" s="4">
        <f t="shared" si="7"/>
        <v>15394.006559766764</v>
      </c>
      <c r="O476" s="3" cm="1">
        <f t="array" ref="O476">_xlfn.IFS(AND(K476="Broker",J476="Resale"),F476*0.5,AND(K476="Owner",J476="Resale"),F476*0,AND(K476="Builder",J476="Resale"),F476*0.3,AND(J476="New",K476="Broker"),F476*0.1,AND(J476="New",K476="Owner"),F476*0,AND(J476="New",K476="Builder"),F476*0.5)</f>
        <v>2112057.7000000002</v>
      </c>
    </row>
    <row r="477" spans="1:15" x14ac:dyDescent="0.3">
      <c r="A477" s="8" t="s">
        <v>526</v>
      </c>
      <c r="B477" s="4" t="s">
        <v>487</v>
      </c>
      <c r="C477" s="4" t="s">
        <v>490</v>
      </c>
      <c r="D477" s="4">
        <v>3</v>
      </c>
      <c r="E477" s="4">
        <v>1583</v>
      </c>
      <c r="F477" s="4">
        <v>16167116</v>
      </c>
      <c r="G477" s="4">
        <v>2</v>
      </c>
      <c r="H477" s="4">
        <v>2</v>
      </c>
      <c r="I477" s="4" t="s">
        <v>18</v>
      </c>
      <c r="J477" s="4" t="s">
        <v>23</v>
      </c>
      <c r="K477" s="4" t="s">
        <v>36</v>
      </c>
      <c r="L477" s="9">
        <v>45254</v>
      </c>
      <c r="M477" s="9" t="str">
        <f>TEXT(Source_data[[#This Row],[Listing_Date]],"mmm-yy")</f>
        <v>Nov-23</v>
      </c>
      <c r="N477" s="4">
        <f t="shared" si="7"/>
        <v>10212.96020214782</v>
      </c>
      <c r="O477" s="3" cm="1">
        <f t="array" ref="O477">_xlfn.IFS(AND(K477="Broker",J477="Resale"),F477*0.5,AND(K477="Owner",J477="Resale"),F477*0,AND(K477="Builder",J477="Resale"),F477*0.3,AND(J477="New",K477="Broker"),F477*0.1,AND(J477="New",K477="Owner"),F477*0,AND(J477="New",K477="Builder"),F477*0.5)</f>
        <v>0</v>
      </c>
    </row>
    <row r="478" spans="1:15" x14ac:dyDescent="0.3">
      <c r="A478" s="8" t="s">
        <v>527</v>
      </c>
      <c r="B478" s="4" t="s">
        <v>487</v>
      </c>
      <c r="C478" s="4" t="s">
        <v>498</v>
      </c>
      <c r="D478" s="4">
        <v>2</v>
      </c>
      <c r="E478" s="4">
        <v>637</v>
      </c>
      <c r="F478" s="4">
        <v>5053072</v>
      </c>
      <c r="G478" s="4">
        <v>2</v>
      </c>
      <c r="H478" s="4">
        <v>1</v>
      </c>
      <c r="I478" s="4" t="s">
        <v>8</v>
      </c>
      <c r="J478" s="4" t="s">
        <v>23</v>
      </c>
      <c r="K478" s="4" t="s">
        <v>20</v>
      </c>
      <c r="L478" s="9">
        <v>45166</v>
      </c>
      <c r="M478" s="9" t="str">
        <f>TEXT(Source_data[[#This Row],[Listing_Date]],"mmm-yy")</f>
        <v>Aug-23</v>
      </c>
      <c r="N478" s="4">
        <f t="shared" si="7"/>
        <v>7932.6091051805333</v>
      </c>
      <c r="O478" s="3" cm="1">
        <f t="array" ref="O478">_xlfn.IFS(AND(K478="Broker",J478="Resale"),F478*0.5,AND(K478="Owner",J478="Resale"),F478*0,AND(K478="Builder",J478="Resale"),F478*0.3,AND(J478="New",K478="Broker"),F478*0.1,AND(J478="New",K478="Owner"),F478*0,AND(J478="New",K478="Builder"),F478*0.5)</f>
        <v>2526536</v>
      </c>
    </row>
    <row r="479" spans="1:15" x14ac:dyDescent="0.3">
      <c r="A479" s="8" t="s">
        <v>528</v>
      </c>
      <c r="B479" s="4" t="s">
        <v>487</v>
      </c>
      <c r="C479" s="4" t="s">
        <v>498</v>
      </c>
      <c r="D479" s="4">
        <v>4</v>
      </c>
      <c r="E479" s="4">
        <v>1560</v>
      </c>
      <c r="F479" s="4">
        <v>16112347</v>
      </c>
      <c r="G479" s="4">
        <v>4</v>
      </c>
      <c r="H479" s="4">
        <v>1</v>
      </c>
      <c r="I479" s="4" t="s">
        <v>27</v>
      </c>
      <c r="J479" s="4" t="s">
        <v>19</v>
      </c>
      <c r="K479" s="4" t="s">
        <v>24</v>
      </c>
      <c r="L479" s="9">
        <v>45414</v>
      </c>
      <c r="M479" s="9" t="str">
        <f>TEXT(Source_data[[#This Row],[Listing_Date]],"mmm-yy")</f>
        <v>May-24</v>
      </c>
      <c r="N479" s="4">
        <f t="shared" si="7"/>
        <v>10328.427564102563</v>
      </c>
      <c r="O479" s="3" cm="1">
        <f t="array" ref="O479">_xlfn.IFS(AND(K479="Broker",J479="Resale"),F479*0.5,AND(K479="Owner",J479="Resale"),F479*0,AND(K479="Builder",J479="Resale"),F479*0.3,AND(J479="New",K479="Broker"),F479*0.1,AND(J479="New",K479="Owner"),F479*0,AND(J479="New",K479="Builder"),F479*0.5)</f>
        <v>8056173.5</v>
      </c>
    </row>
    <row r="480" spans="1:15" x14ac:dyDescent="0.3">
      <c r="A480" s="8" t="s">
        <v>529</v>
      </c>
      <c r="B480" s="4" t="s">
        <v>487</v>
      </c>
      <c r="C480" s="4" t="s">
        <v>492</v>
      </c>
      <c r="D480" s="4">
        <v>4</v>
      </c>
      <c r="E480" s="4">
        <v>1494</v>
      </c>
      <c r="F480" s="4">
        <v>23043537</v>
      </c>
      <c r="G480" s="4">
        <v>3</v>
      </c>
      <c r="H480" s="4">
        <v>0</v>
      </c>
      <c r="I480" s="4" t="s">
        <v>8</v>
      </c>
      <c r="J480" s="4" t="s">
        <v>23</v>
      </c>
      <c r="K480" s="4" t="s">
        <v>36</v>
      </c>
      <c r="L480" s="9">
        <v>45833</v>
      </c>
      <c r="M480" s="9" t="str">
        <f>TEXT(Source_data[[#This Row],[Listing_Date]],"mmm-yy")</f>
        <v>Jun-25</v>
      </c>
      <c r="N480" s="4">
        <f t="shared" si="7"/>
        <v>15424.054216867469</v>
      </c>
      <c r="O480" s="3" cm="1">
        <f t="array" ref="O480">_xlfn.IFS(AND(K480="Broker",J480="Resale"),F480*0.5,AND(K480="Owner",J480="Resale"),F480*0,AND(K480="Builder",J480="Resale"),F480*0.3,AND(J480="New",K480="Broker"),F480*0.1,AND(J480="New",K480="Owner"),F480*0,AND(J480="New",K480="Builder"),F480*0.5)</f>
        <v>0</v>
      </c>
    </row>
    <row r="481" spans="1:15" x14ac:dyDescent="0.3">
      <c r="A481" s="8" t="s">
        <v>530</v>
      </c>
      <c r="B481" s="4" t="s">
        <v>487</v>
      </c>
      <c r="C481" s="4" t="s">
        <v>488</v>
      </c>
      <c r="D481" s="4">
        <v>5</v>
      </c>
      <c r="E481" s="4">
        <v>1204</v>
      </c>
      <c r="F481" s="4">
        <v>17666034</v>
      </c>
      <c r="G481" s="4">
        <v>2</v>
      </c>
      <c r="H481" s="4">
        <v>2</v>
      </c>
      <c r="I481" s="4" t="s">
        <v>8</v>
      </c>
      <c r="J481" s="4" t="s">
        <v>23</v>
      </c>
      <c r="K481" s="4" t="s">
        <v>24</v>
      </c>
      <c r="L481" s="9">
        <v>45157</v>
      </c>
      <c r="M481" s="9" t="str">
        <f>TEXT(Source_data[[#This Row],[Listing_Date]],"mmm-yy")</f>
        <v>Aug-23</v>
      </c>
      <c r="N481" s="4">
        <f t="shared" si="7"/>
        <v>14672.785714285714</v>
      </c>
      <c r="O481" s="3" cm="1">
        <f t="array" ref="O481">_xlfn.IFS(AND(K481="Broker",J481="Resale"),F481*0.5,AND(K481="Owner",J481="Resale"),F481*0,AND(K481="Builder",J481="Resale"),F481*0.3,AND(J481="New",K481="Broker"),F481*0.1,AND(J481="New",K481="Owner"),F481*0,AND(J481="New",K481="Builder"),F481*0.5)</f>
        <v>5299810.2</v>
      </c>
    </row>
    <row r="482" spans="1:15" x14ac:dyDescent="0.3">
      <c r="A482" s="8" t="s">
        <v>531</v>
      </c>
      <c r="B482" s="4" t="s">
        <v>487</v>
      </c>
      <c r="C482" s="4" t="s">
        <v>488</v>
      </c>
      <c r="D482" s="4">
        <v>3</v>
      </c>
      <c r="E482" s="4">
        <v>1275</v>
      </c>
      <c r="F482" s="4">
        <v>14221402</v>
      </c>
      <c r="G482" s="4">
        <v>3</v>
      </c>
      <c r="H482" s="4">
        <v>0</v>
      </c>
      <c r="I482" s="4" t="s">
        <v>27</v>
      </c>
      <c r="J482" s="4" t="s">
        <v>23</v>
      </c>
      <c r="K482" s="4" t="s">
        <v>20</v>
      </c>
      <c r="L482" s="9">
        <v>45843</v>
      </c>
      <c r="M482" s="9" t="str">
        <f>TEXT(Source_data[[#This Row],[Listing_Date]],"mmm-yy")</f>
        <v>Jul-25</v>
      </c>
      <c r="N482" s="4">
        <f t="shared" si="7"/>
        <v>11154.040784313725</v>
      </c>
      <c r="O482" s="3" cm="1">
        <f t="array" ref="O482">_xlfn.IFS(AND(K482="Broker",J482="Resale"),F482*0.5,AND(K482="Owner",J482="Resale"),F482*0,AND(K482="Builder",J482="Resale"),F482*0.3,AND(J482="New",K482="Broker"),F482*0.1,AND(J482="New",K482="Owner"),F482*0,AND(J482="New",K482="Builder"),F482*0.5)</f>
        <v>7110701</v>
      </c>
    </row>
    <row r="483" spans="1:15" x14ac:dyDescent="0.3">
      <c r="A483" s="8" t="s">
        <v>532</v>
      </c>
      <c r="B483" s="4" t="s">
        <v>487</v>
      </c>
      <c r="C483" s="4" t="s">
        <v>501</v>
      </c>
      <c r="D483" s="4">
        <v>4</v>
      </c>
      <c r="E483" s="4">
        <v>868</v>
      </c>
      <c r="F483" s="4">
        <v>8894537</v>
      </c>
      <c r="G483" s="4">
        <v>3</v>
      </c>
      <c r="H483" s="4">
        <v>1</v>
      </c>
      <c r="I483" s="4" t="s">
        <v>27</v>
      </c>
      <c r="J483" s="4" t="s">
        <v>19</v>
      </c>
      <c r="K483" s="4" t="s">
        <v>36</v>
      </c>
      <c r="L483" s="9">
        <v>45624</v>
      </c>
      <c r="M483" s="9" t="str">
        <f>TEXT(Source_data[[#This Row],[Listing_Date]],"mmm-yy")</f>
        <v>Nov-24</v>
      </c>
      <c r="N483" s="4">
        <f t="shared" si="7"/>
        <v>10247.162442396313</v>
      </c>
      <c r="O483" s="3" cm="1">
        <f t="array" ref="O483">_xlfn.IFS(AND(K483="Broker",J483="Resale"),F483*0.5,AND(K483="Owner",J483="Resale"),F483*0,AND(K483="Builder",J483="Resale"),F483*0.3,AND(J483="New",K483="Broker"),F483*0.1,AND(J483="New",K483="Owner"),F483*0,AND(J483="New",K483="Builder"),F483*0.5)</f>
        <v>0</v>
      </c>
    </row>
    <row r="484" spans="1:15" x14ac:dyDescent="0.3">
      <c r="A484" s="8" t="s">
        <v>533</v>
      </c>
      <c r="B484" s="4" t="s">
        <v>487</v>
      </c>
      <c r="C484" s="4" t="s">
        <v>492</v>
      </c>
      <c r="D484" s="4">
        <v>3</v>
      </c>
      <c r="E484" s="4">
        <v>969</v>
      </c>
      <c r="F484" s="4">
        <v>11349045</v>
      </c>
      <c r="G484" s="4">
        <v>4</v>
      </c>
      <c r="H484" s="4">
        <v>2</v>
      </c>
      <c r="I484" s="4" t="s">
        <v>8</v>
      </c>
      <c r="J484" s="4" t="s">
        <v>23</v>
      </c>
      <c r="K484" s="4" t="s">
        <v>20</v>
      </c>
      <c r="L484" s="9">
        <v>45080</v>
      </c>
      <c r="M484" s="9" t="str">
        <f>TEXT(Source_data[[#This Row],[Listing_Date]],"mmm-yy")</f>
        <v>Jun-23</v>
      </c>
      <c r="N484" s="4">
        <f t="shared" si="7"/>
        <v>11712.120743034056</v>
      </c>
      <c r="O484" s="3" cm="1">
        <f t="array" ref="O484">_xlfn.IFS(AND(K484="Broker",J484="Resale"),F484*0.5,AND(K484="Owner",J484="Resale"),F484*0,AND(K484="Builder",J484="Resale"),F484*0.3,AND(J484="New",K484="Broker"),F484*0.1,AND(J484="New",K484="Owner"),F484*0,AND(J484="New",K484="Builder"),F484*0.5)</f>
        <v>5674522.5</v>
      </c>
    </row>
    <row r="485" spans="1:15" x14ac:dyDescent="0.3">
      <c r="A485" s="8" t="s">
        <v>534</v>
      </c>
      <c r="B485" s="4" t="s">
        <v>487</v>
      </c>
      <c r="C485" s="4" t="s">
        <v>495</v>
      </c>
      <c r="D485" s="4">
        <v>4</v>
      </c>
      <c r="E485" s="4">
        <v>2217</v>
      </c>
      <c r="F485" s="4">
        <v>33873849</v>
      </c>
      <c r="G485" s="4">
        <v>3</v>
      </c>
      <c r="H485" s="4">
        <v>1</v>
      </c>
      <c r="I485" s="4" t="s">
        <v>8</v>
      </c>
      <c r="J485" s="4" t="s">
        <v>19</v>
      </c>
      <c r="K485" s="4" t="s">
        <v>20</v>
      </c>
      <c r="L485" s="9">
        <v>45810</v>
      </c>
      <c r="M485" s="9" t="str">
        <f>TEXT(Source_data[[#This Row],[Listing_Date]],"mmm-yy")</f>
        <v>Jun-25</v>
      </c>
      <c r="N485" s="4">
        <f t="shared" si="7"/>
        <v>15279.13802435724</v>
      </c>
      <c r="O485" s="3" cm="1">
        <f t="array" ref="O485">_xlfn.IFS(AND(K485="Broker",J485="Resale"),F485*0.5,AND(K485="Owner",J485="Resale"),F485*0,AND(K485="Builder",J485="Resale"),F485*0.3,AND(J485="New",K485="Broker"),F485*0.1,AND(J485="New",K485="Owner"),F485*0,AND(J485="New",K485="Builder"),F485*0.5)</f>
        <v>3387384.9000000004</v>
      </c>
    </row>
    <row r="486" spans="1:15" x14ac:dyDescent="0.3">
      <c r="A486" s="8" t="s">
        <v>535</v>
      </c>
      <c r="B486" s="4" t="s">
        <v>487</v>
      </c>
      <c r="C486" s="4" t="s">
        <v>501</v>
      </c>
      <c r="D486" s="4">
        <v>3</v>
      </c>
      <c r="E486" s="4">
        <v>1307</v>
      </c>
      <c r="F486" s="4">
        <v>19554349</v>
      </c>
      <c r="G486" s="4">
        <v>2</v>
      </c>
      <c r="H486" s="4">
        <v>2</v>
      </c>
      <c r="I486" s="4" t="s">
        <v>8</v>
      </c>
      <c r="J486" s="4" t="s">
        <v>23</v>
      </c>
      <c r="K486" s="4" t="s">
        <v>36</v>
      </c>
      <c r="L486" s="9">
        <v>45846</v>
      </c>
      <c r="M486" s="9" t="str">
        <f>TEXT(Source_data[[#This Row],[Listing_Date]],"mmm-yy")</f>
        <v>Jul-25</v>
      </c>
      <c r="N486" s="4">
        <f t="shared" si="7"/>
        <v>14961.246365723029</v>
      </c>
      <c r="O486" s="3" cm="1">
        <f t="array" ref="O486">_xlfn.IFS(AND(K486="Broker",J486="Resale"),F486*0.5,AND(K486="Owner",J486="Resale"),F486*0,AND(K486="Builder",J486="Resale"),F486*0.3,AND(J486="New",K486="Broker"),F486*0.1,AND(J486="New",K486="Owner"),F486*0,AND(J486="New",K486="Builder"),F486*0.5)</f>
        <v>0</v>
      </c>
    </row>
    <row r="487" spans="1:15" x14ac:dyDescent="0.3">
      <c r="A487" s="8" t="s">
        <v>536</v>
      </c>
      <c r="B487" s="4" t="s">
        <v>487</v>
      </c>
      <c r="C487" s="4" t="s">
        <v>490</v>
      </c>
      <c r="D487" s="4">
        <v>3</v>
      </c>
      <c r="E487" s="4">
        <v>1426</v>
      </c>
      <c r="F487" s="4">
        <v>18381937</v>
      </c>
      <c r="G487" s="4">
        <v>2</v>
      </c>
      <c r="H487" s="4">
        <v>1</v>
      </c>
      <c r="I487" s="4" t="s">
        <v>18</v>
      </c>
      <c r="J487" s="4" t="s">
        <v>19</v>
      </c>
      <c r="K487" s="4" t="s">
        <v>24</v>
      </c>
      <c r="L487" s="9">
        <v>44977</v>
      </c>
      <c r="M487" s="9" t="str">
        <f>TEXT(Source_data[[#This Row],[Listing_Date]],"mmm-yy")</f>
        <v>Feb-23</v>
      </c>
      <c r="N487" s="4">
        <f t="shared" si="7"/>
        <v>12890.558906030856</v>
      </c>
      <c r="O487" s="3" cm="1">
        <f t="array" ref="O487">_xlfn.IFS(AND(K487="Broker",J487="Resale"),F487*0.5,AND(K487="Owner",J487="Resale"),F487*0,AND(K487="Builder",J487="Resale"),F487*0.3,AND(J487="New",K487="Broker"),F487*0.1,AND(J487="New",K487="Owner"),F487*0,AND(J487="New",K487="Builder"),F487*0.5)</f>
        <v>9190968.5</v>
      </c>
    </row>
    <row r="488" spans="1:15" x14ac:dyDescent="0.3">
      <c r="A488" s="8" t="s">
        <v>537</v>
      </c>
      <c r="B488" s="4" t="s">
        <v>487</v>
      </c>
      <c r="C488" s="4" t="s">
        <v>498</v>
      </c>
      <c r="D488" s="4">
        <v>2</v>
      </c>
      <c r="E488" s="4">
        <v>1316</v>
      </c>
      <c r="F488" s="4">
        <v>12036125</v>
      </c>
      <c r="G488" s="4">
        <v>2</v>
      </c>
      <c r="H488" s="4">
        <v>3</v>
      </c>
      <c r="I488" s="4" t="s">
        <v>8</v>
      </c>
      <c r="J488" s="4" t="s">
        <v>19</v>
      </c>
      <c r="K488" s="4" t="s">
        <v>24</v>
      </c>
      <c r="L488" s="9">
        <v>45491</v>
      </c>
      <c r="M488" s="9" t="str">
        <f>TEXT(Source_data[[#This Row],[Listing_Date]],"mmm-yy")</f>
        <v>Jul-24</v>
      </c>
      <c r="N488" s="4">
        <f t="shared" si="7"/>
        <v>9145.9916413373867</v>
      </c>
      <c r="O488" s="3" cm="1">
        <f t="array" ref="O488">_xlfn.IFS(AND(K488="Broker",J488="Resale"),F488*0.5,AND(K488="Owner",J488="Resale"),F488*0,AND(K488="Builder",J488="Resale"),F488*0.3,AND(J488="New",K488="Broker"),F488*0.1,AND(J488="New",K488="Owner"),F488*0,AND(J488="New",K488="Builder"),F488*0.5)</f>
        <v>6018062.5</v>
      </c>
    </row>
    <row r="489" spans="1:15" x14ac:dyDescent="0.3">
      <c r="A489" s="8" t="s">
        <v>538</v>
      </c>
      <c r="B489" s="4" t="s">
        <v>487</v>
      </c>
      <c r="C489" s="4" t="s">
        <v>495</v>
      </c>
      <c r="D489" s="4">
        <v>3</v>
      </c>
      <c r="E489" s="4">
        <v>888</v>
      </c>
      <c r="F489" s="4">
        <v>12012696</v>
      </c>
      <c r="G489" s="4">
        <v>4</v>
      </c>
      <c r="H489" s="4">
        <v>0</v>
      </c>
      <c r="I489" s="4" t="s">
        <v>8</v>
      </c>
      <c r="J489" s="4" t="s">
        <v>23</v>
      </c>
      <c r="K489" s="4" t="s">
        <v>24</v>
      </c>
      <c r="L489" s="9">
        <v>45299</v>
      </c>
      <c r="M489" s="9" t="str">
        <f>TEXT(Source_data[[#This Row],[Listing_Date]],"mmm-yy")</f>
        <v>Jan-24</v>
      </c>
      <c r="N489" s="4">
        <f t="shared" si="7"/>
        <v>13527.81081081081</v>
      </c>
      <c r="O489" s="3" cm="1">
        <f t="array" ref="O489">_xlfn.IFS(AND(K489="Broker",J489="Resale"),F489*0.5,AND(K489="Owner",J489="Resale"),F489*0,AND(K489="Builder",J489="Resale"),F489*0.3,AND(J489="New",K489="Broker"),F489*0.1,AND(J489="New",K489="Owner"),F489*0,AND(J489="New",K489="Builder"),F489*0.5)</f>
        <v>3603808.8</v>
      </c>
    </row>
    <row r="490" spans="1:15" x14ac:dyDescent="0.3">
      <c r="A490" s="8" t="s">
        <v>539</v>
      </c>
      <c r="B490" s="4" t="s">
        <v>487</v>
      </c>
      <c r="C490" s="4" t="s">
        <v>495</v>
      </c>
      <c r="D490" s="4">
        <v>3</v>
      </c>
      <c r="E490" s="4">
        <v>1411</v>
      </c>
      <c r="F490" s="4">
        <v>17197649</v>
      </c>
      <c r="G490" s="4">
        <v>3</v>
      </c>
      <c r="H490" s="4">
        <v>1</v>
      </c>
      <c r="I490" s="4" t="s">
        <v>8</v>
      </c>
      <c r="J490" s="4" t="s">
        <v>23</v>
      </c>
      <c r="K490" s="4" t="s">
        <v>20</v>
      </c>
      <c r="L490" s="9">
        <v>45021</v>
      </c>
      <c r="M490" s="9" t="str">
        <f>TEXT(Source_data[[#This Row],[Listing_Date]],"mmm-yy")</f>
        <v>Apr-23</v>
      </c>
      <c r="N490" s="4">
        <f t="shared" si="7"/>
        <v>12188.270021261516</v>
      </c>
      <c r="O490" s="3" cm="1">
        <f t="array" ref="O490">_xlfn.IFS(AND(K490="Broker",J490="Resale"),F490*0.5,AND(K490="Owner",J490="Resale"),F490*0,AND(K490="Builder",J490="Resale"),F490*0.3,AND(J490="New",K490="Broker"),F490*0.1,AND(J490="New",K490="Owner"),F490*0,AND(J490="New",K490="Builder"),F490*0.5)</f>
        <v>8598824.5</v>
      </c>
    </row>
    <row r="491" spans="1:15" x14ac:dyDescent="0.3">
      <c r="A491" s="8" t="s">
        <v>540</v>
      </c>
      <c r="B491" s="4" t="s">
        <v>487</v>
      </c>
      <c r="C491" s="4" t="s">
        <v>488</v>
      </c>
      <c r="D491" s="4">
        <v>2</v>
      </c>
      <c r="E491" s="4">
        <v>797</v>
      </c>
      <c r="F491" s="4">
        <v>12067270</v>
      </c>
      <c r="G491" s="4">
        <v>2</v>
      </c>
      <c r="H491" s="4">
        <v>0</v>
      </c>
      <c r="I491" s="4" t="s">
        <v>18</v>
      </c>
      <c r="J491" s="4" t="s">
        <v>23</v>
      </c>
      <c r="K491" s="4" t="s">
        <v>24</v>
      </c>
      <c r="L491" s="9">
        <v>45557</v>
      </c>
      <c r="M491" s="9" t="str">
        <f>TEXT(Source_data[[#This Row],[Listing_Date]],"mmm-yy")</f>
        <v>Sep-24</v>
      </c>
      <c r="N491" s="4">
        <f t="shared" si="7"/>
        <v>15140.865746549562</v>
      </c>
      <c r="O491" s="3" cm="1">
        <f t="array" ref="O491">_xlfn.IFS(AND(K491="Broker",J491="Resale"),F491*0.5,AND(K491="Owner",J491="Resale"),F491*0,AND(K491="Builder",J491="Resale"),F491*0.3,AND(J491="New",K491="Broker"),F491*0.1,AND(J491="New",K491="Owner"),F491*0,AND(J491="New",K491="Builder"),F491*0.5)</f>
        <v>3620181</v>
      </c>
    </row>
    <row r="492" spans="1:15" x14ac:dyDescent="0.3">
      <c r="A492" s="8" t="s">
        <v>541</v>
      </c>
      <c r="B492" s="4" t="s">
        <v>487</v>
      </c>
      <c r="C492" s="4" t="s">
        <v>490</v>
      </c>
      <c r="D492" s="4">
        <v>2</v>
      </c>
      <c r="E492" s="4">
        <v>1052</v>
      </c>
      <c r="F492" s="4">
        <v>14300132</v>
      </c>
      <c r="G492" s="4">
        <v>2</v>
      </c>
      <c r="H492" s="4">
        <v>1</v>
      </c>
      <c r="I492" s="4" t="s">
        <v>8</v>
      </c>
      <c r="J492" s="4" t="s">
        <v>19</v>
      </c>
      <c r="K492" s="4" t="s">
        <v>24</v>
      </c>
      <c r="L492" s="9">
        <v>45321</v>
      </c>
      <c r="M492" s="9" t="str">
        <f>TEXT(Source_data[[#This Row],[Listing_Date]],"mmm-yy")</f>
        <v>Jan-24</v>
      </c>
      <c r="N492" s="4">
        <f t="shared" si="7"/>
        <v>13593.281368821294</v>
      </c>
      <c r="O492" s="3" cm="1">
        <f t="array" ref="O492">_xlfn.IFS(AND(K492="Broker",J492="Resale"),F492*0.5,AND(K492="Owner",J492="Resale"),F492*0,AND(K492="Builder",J492="Resale"),F492*0.3,AND(J492="New",K492="Broker"),F492*0.1,AND(J492="New",K492="Owner"),F492*0,AND(J492="New",K492="Builder"),F492*0.5)</f>
        <v>7150066</v>
      </c>
    </row>
    <row r="493" spans="1:15" x14ac:dyDescent="0.3">
      <c r="A493" s="8" t="s">
        <v>542</v>
      </c>
      <c r="B493" s="4" t="s">
        <v>487</v>
      </c>
      <c r="C493" s="4" t="s">
        <v>495</v>
      </c>
      <c r="D493" s="4">
        <v>2</v>
      </c>
      <c r="E493" s="4">
        <v>676</v>
      </c>
      <c r="F493" s="4">
        <v>6522665</v>
      </c>
      <c r="G493" s="4">
        <v>2</v>
      </c>
      <c r="H493" s="4">
        <v>1</v>
      </c>
      <c r="I493" s="4" t="s">
        <v>27</v>
      </c>
      <c r="J493" s="4" t="s">
        <v>19</v>
      </c>
      <c r="K493" s="4" t="s">
        <v>20</v>
      </c>
      <c r="L493" s="9">
        <v>45481</v>
      </c>
      <c r="M493" s="9" t="str">
        <f>TEXT(Source_data[[#This Row],[Listing_Date]],"mmm-yy")</f>
        <v>Jul-24</v>
      </c>
      <c r="N493" s="4">
        <f t="shared" si="7"/>
        <v>9648.9127218934918</v>
      </c>
      <c r="O493" s="3" cm="1">
        <f t="array" ref="O493">_xlfn.IFS(AND(K493="Broker",J493="Resale"),F493*0.5,AND(K493="Owner",J493="Resale"),F493*0,AND(K493="Builder",J493="Resale"),F493*0.3,AND(J493="New",K493="Broker"),F493*0.1,AND(J493="New",K493="Owner"),F493*0,AND(J493="New",K493="Builder"),F493*0.5)</f>
        <v>652266.5</v>
      </c>
    </row>
    <row r="494" spans="1:15" x14ac:dyDescent="0.3">
      <c r="A494" s="8" t="s">
        <v>543</v>
      </c>
      <c r="B494" s="4" t="s">
        <v>487</v>
      </c>
      <c r="C494" s="4" t="s">
        <v>501</v>
      </c>
      <c r="D494" s="4">
        <v>4</v>
      </c>
      <c r="E494" s="4">
        <v>1581</v>
      </c>
      <c r="F494" s="4">
        <v>20780284</v>
      </c>
      <c r="G494" s="4">
        <v>3</v>
      </c>
      <c r="H494" s="4">
        <v>3</v>
      </c>
      <c r="I494" s="4" t="s">
        <v>8</v>
      </c>
      <c r="J494" s="4" t="s">
        <v>23</v>
      </c>
      <c r="K494" s="4" t="s">
        <v>20</v>
      </c>
      <c r="L494" s="9">
        <v>45755</v>
      </c>
      <c r="M494" s="9" t="str">
        <f>TEXT(Source_data[[#This Row],[Listing_Date]],"mmm-yy")</f>
        <v>Apr-25</v>
      </c>
      <c r="N494" s="4">
        <f t="shared" si="7"/>
        <v>13143.759645793802</v>
      </c>
      <c r="O494" s="3" cm="1">
        <f t="array" ref="O494">_xlfn.IFS(AND(K494="Broker",J494="Resale"),F494*0.5,AND(K494="Owner",J494="Resale"),F494*0,AND(K494="Builder",J494="Resale"),F494*0.3,AND(J494="New",K494="Broker"),F494*0.1,AND(J494="New",K494="Owner"),F494*0,AND(J494="New",K494="Builder"),F494*0.5)</f>
        <v>10390142</v>
      </c>
    </row>
    <row r="495" spans="1:15" x14ac:dyDescent="0.3">
      <c r="A495" s="8" t="s">
        <v>544</v>
      </c>
      <c r="B495" s="4" t="s">
        <v>487</v>
      </c>
      <c r="C495" s="4" t="s">
        <v>495</v>
      </c>
      <c r="D495" s="4">
        <v>3</v>
      </c>
      <c r="E495" s="4">
        <v>1075</v>
      </c>
      <c r="F495" s="4">
        <v>9182521</v>
      </c>
      <c r="G495" s="4">
        <v>2</v>
      </c>
      <c r="H495" s="4">
        <v>0</v>
      </c>
      <c r="I495" s="4" t="s">
        <v>27</v>
      </c>
      <c r="J495" s="4" t="s">
        <v>19</v>
      </c>
      <c r="K495" s="4" t="s">
        <v>36</v>
      </c>
      <c r="L495" s="9">
        <v>45740</v>
      </c>
      <c r="M495" s="9" t="str">
        <f>TEXT(Source_data[[#This Row],[Listing_Date]],"mmm-yy")</f>
        <v>Mar-25</v>
      </c>
      <c r="N495" s="4">
        <f t="shared" si="7"/>
        <v>8541.8799999999992</v>
      </c>
      <c r="O495" s="3" cm="1">
        <f t="array" ref="O495">_xlfn.IFS(AND(K495="Broker",J495="Resale"),F495*0.5,AND(K495="Owner",J495="Resale"),F495*0,AND(K495="Builder",J495="Resale"),F495*0.3,AND(J495="New",K495="Broker"),F495*0.1,AND(J495="New",K495="Owner"),F495*0,AND(J495="New",K495="Builder"),F495*0.5)</f>
        <v>0</v>
      </c>
    </row>
    <row r="496" spans="1:15" x14ac:dyDescent="0.3">
      <c r="A496" s="8" t="s">
        <v>545</v>
      </c>
      <c r="B496" s="4" t="s">
        <v>487</v>
      </c>
      <c r="C496" s="4" t="s">
        <v>488</v>
      </c>
      <c r="D496" s="4">
        <v>2</v>
      </c>
      <c r="E496" s="4">
        <v>1229</v>
      </c>
      <c r="F496" s="4">
        <v>12599915</v>
      </c>
      <c r="G496" s="4">
        <v>2</v>
      </c>
      <c r="H496" s="4">
        <v>1</v>
      </c>
      <c r="I496" s="4" t="s">
        <v>18</v>
      </c>
      <c r="J496" s="4" t="s">
        <v>19</v>
      </c>
      <c r="K496" s="4" t="s">
        <v>20</v>
      </c>
      <c r="L496" s="9">
        <v>45676</v>
      </c>
      <c r="M496" s="9" t="str">
        <f>TEXT(Source_data[[#This Row],[Listing_Date]],"mmm-yy")</f>
        <v>Jan-25</v>
      </c>
      <c r="N496" s="4">
        <f t="shared" si="7"/>
        <v>10252.168429617575</v>
      </c>
      <c r="O496" s="3" cm="1">
        <f t="array" ref="O496">_xlfn.IFS(AND(K496="Broker",J496="Resale"),F496*0.5,AND(K496="Owner",J496="Resale"),F496*0,AND(K496="Builder",J496="Resale"),F496*0.3,AND(J496="New",K496="Broker"),F496*0.1,AND(J496="New",K496="Owner"),F496*0,AND(J496="New",K496="Builder"),F496*0.5)</f>
        <v>1259991.5</v>
      </c>
    </row>
    <row r="497" spans="1:15" x14ac:dyDescent="0.3">
      <c r="A497" s="8" t="s">
        <v>546</v>
      </c>
      <c r="B497" s="4" t="s">
        <v>487</v>
      </c>
      <c r="C497" s="4" t="s">
        <v>495</v>
      </c>
      <c r="D497" s="4">
        <v>4</v>
      </c>
      <c r="E497" s="4">
        <v>2062</v>
      </c>
      <c r="F497" s="4">
        <v>26500515</v>
      </c>
      <c r="G497" s="4">
        <v>3</v>
      </c>
      <c r="H497" s="4">
        <v>3</v>
      </c>
      <c r="I497" s="4" t="s">
        <v>27</v>
      </c>
      <c r="J497" s="4" t="s">
        <v>19</v>
      </c>
      <c r="K497" s="4" t="s">
        <v>20</v>
      </c>
      <c r="L497" s="9">
        <v>44950</v>
      </c>
      <c r="M497" s="9" t="str">
        <f>TEXT(Source_data[[#This Row],[Listing_Date]],"mmm-yy")</f>
        <v>Jan-23</v>
      </c>
      <c r="N497" s="4">
        <f t="shared" si="7"/>
        <v>12851.850145489816</v>
      </c>
      <c r="O497" s="3" cm="1">
        <f t="array" ref="O497">_xlfn.IFS(AND(K497="Broker",J497="Resale"),F497*0.5,AND(K497="Owner",J497="Resale"),F497*0,AND(K497="Builder",J497="Resale"),F497*0.3,AND(J497="New",K497="Broker"),F497*0.1,AND(J497="New",K497="Owner"),F497*0,AND(J497="New",K497="Builder"),F497*0.5)</f>
        <v>2650051.5</v>
      </c>
    </row>
    <row r="498" spans="1:15" x14ac:dyDescent="0.3">
      <c r="A498" s="8" t="s">
        <v>547</v>
      </c>
      <c r="B498" s="4" t="s">
        <v>487</v>
      </c>
      <c r="C498" s="4" t="s">
        <v>488</v>
      </c>
      <c r="D498" s="4">
        <v>3</v>
      </c>
      <c r="E498" s="4">
        <v>920</v>
      </c>
      <c r="F498" s="4">
        <v>10995461</v>
      </c>
      <c r="G498" s="4">
        <v>3</v>
      </c>
      <c r="H498" s="4">
        <v>1</v>
      </c>
      <c r="I498" s="4" t="s">
        <v>27</v>
      </c>
      <c r="J498" s="4" t="s">
        <v>23</v>
      </c>
      <c r="K498" s="4" t="s">
        <v>20</v>
      </c>
      <c r="L498" s="9">
        <v>45445</v>
      </c>
      <c r="M498" s="9" t="str">
        <f>TEXT(Source_data[[#This Row],[Listing_Date]],"mmm-yy")</f>
        <v>Jun-24</v>
      </c>
      <c r="N498" s="4">
        <f t="shared" si="7"/>
        <v>11951.588043478261</v>
      </c>
      <c r="O498" s="3" cm="1">
        <f t="array" ref="O498">_xlfn.IFS(AND(K498="Broker",J498="Resale"),F498*0.5,AND(K498="Owner",J498="Resale"),F498*0,AND(K498="Builder",J498="Resale"),F498*0.3,AND(J498="New",K498="Broker"),F498*0.1,AND(J498="New",K498="Owner"),F498*0,AND(J498="New",K498="Builder"),F498*0.5)</f>
        <v>5497730.5</v>
      </c>
    </row>
    <row r="499" spans="1:15" x14ac:dyDescent="0.3">
      <c r="A499" s="8" t="s">
        <v>548</v>
      </c>
      <c r="B499" s="4" t="s">
        <v>487</v>
      </c>
      <c r="C499" s="4" t="s">
        <v>488</v>
      </c>
      <c r="D499" s="4">
        <v>2</v>
      </c>
      <c r="E499" s="4">
        <v>948</v>
      </c>
      <c r="F499" s="4">
        <v>12651707</v>
      </c>
      <c r="G499" s="4">
        <v>2</v>
      </c>
      <c r="H499" s="4">
        <v>2</v>
      </c>
      <c r="I499" s="4" t="s">
        <v>8</v>
      </c>
      <c r="J499" s="4" t="s">
        <v>23</v>
      </c>
      <c r="K499" s="4" t="s">
        <v>36</v>
      </c>
      <c r="L499" s="9">
        <v>45207</v>
      </c>
      <c r="M499" s="9" t="str">
        <f>TEXT(Source_data[[#This Row],[Listing_Date]],"mmm-yy")</f>
        <v>Oct-23</v>
      </c>
      <c r="N499" s="4">
        <f t="shared" si="7"/>
        <v>13345.682489451478</v>
      </c>
      <c r="O499" s="3" cm="1">
        <f t="array" ref="O499">_xlfn.IFS(AND(K499="Broker",J499="Resale"),F499*0.5,AND(K499="Owner",J499="Resale"),F499*0,AND(K499="Builder",J499="Resale"),F499*0.3,AND(J499="New",K499="Broker"),F499*0.1,AND(J499="New",K499="Owner"),F499*0,AND(J499="New",K499="Builder"),F499*0.5)</f>
        <v>0</v>
      </c>
    </row>
    <row r="500" spans="1:15" x14ac:dyDescent="0.3">
      <c r="A500" s="8" t="s">
        <v>549</v>
      </c>
      <c r="B500" s="4" t="s">
        <v>487</v>
      </c>
      <c r="C500" s="4" t="s">
        <v>490</v>
      </c>
      <c r="D500" s="4">
        <v>2</v>
      </c>
      <c r="E500" s="4">
        <v>492</v>
      </c>
      <c r="F500" s="4">
        <v>5765485</v>
      </c>
      <c r="G500" s="4">
        <v>2</v>
      </c>
      <c r="H500" s="4">
        <v>0</v>
      </c>
      <c r="I500" s="4" t="s">
        <v>8</v>
      </c>
      <c r="J500" s="4" t="s">
        <v>23</v>
      </c>
      <c r="K500" s="4" t="s">
        <v>20</v>
      </c>
      <c r="L500" s="9">
        <v>45012</v>
      </c>
      <c r="M500" s="9" t="str">
        <f>TEXT(Source_data[[#This Row],[Listing_Date]],"mmm-yy")</f>
        <v>Mar-23</v>
      </c>
      <c r="N500" s="4">
        <f t="shared" si="7"/>
        <v>11718.465447154471</v>
      </c>
      <c r="O500" s="3" cm="1">
        <f t="array" ref="O500">_xlfn.IFS(AND(K500="Broker",J500="Resale"),F500*0.5,AND(K500="Owner",J500="Resale"),F500*0,AND(K500="Builder",J500="Resale"),F500*0.3,AND(J500="New",K500="Broker"),F500*0.1,AND(J500="New",K500="Owner"),F500*0,AND(J500="New",K500="Builder"),F500*0.5)</f>
        <v>2882742.5</v>
      </c>
    </row>
    <row r="501" spans="1:15" x14ac:dyDescent="0.3">
      <c r="A501" s="8" t="s">
        <v>550</v>
      </c>
      <c r="B501" s="4" t="s">
        <v>487</v>
      </c>
      <c r="C501" s="4" t="s">
        <v>498</v>
      </c>
      <c r="D501" s="4">
        <v>3</v>
      </c>
      <c r="E501" s="4">
        <v>1316</v>
      </c>
      <c r="F501" s="4">
        <v>8932330</v>
      </c>
      <c r="G501" s="4">
        <v>2</v>
      </c>
      <c r="H501" s="4">
        <v>2</v>
      </c>
      <c r="I501" s="4" t="s">
        <v>8</v>
      </c>
      <c r="J501" s="4" t="s">
        <v>19</v>
      </c>
      <c r="K501" s="4" t="s">
        <v>20</v>
      </c>
      <c r="L501" s="9">
        <v>45017</v>
      </c>
      <c r="M501" s="9" t="str">
        <f>TEXT(Source_data[[#This Row],[Listing_Date]],"mmm-yy")</f>
        <v>Apr-23</v>
      </c>
      <c r="N501" s="4">
        <f t="shared" si="7"/>
        <v>6787.4848024316107</v>
      </c>
      <c r="O501" s="3" cm="1">
        <f t="array" ref="O501">_xlfn.IFS(AND(K501="Broker",J501="Resale"),F501*0.5,AND(K501="Owner",J501="Resale"),F501*0,AND(K501="Builder",J501="Resale"),F501*0.3,AND(J501="New",K501="Broker"),F501*0.1,AND(J501="New",K501="Owner"),F501*0,AND(J501="New",K501="Builder"),F501*0.5)</f>
        <v>893233</v>
      </c>
    </row>
    <row r="502" spans="1:15" x14ac:dyDescent="0.3">
      <c r="A502" s="8" t="s">
        <v>551</v>
      </c>
      <c r="B502" s="4" t="s">
        <v>487</v>
      </c>
      <c r="C502" s="4" t="s">
        <v>501</v>
      </c>
      <c r="D502" s="4">
        <v>2</v>
      </c>
      <c r="E502" s="4">
        <v>917</v>
      </c>
      <c r="F502" s="4">
        <v>15564956</v>
      </c>
      <c r="G502" s="4">
        <v>3</v>
      </c>
      <c r="H502" s="4">
        <v>2</v>
      </c>
      <c r="I502" s="4" t="s">
        <v>8</v>
      </c>
      <c r="J502" s="4" t="s">
        <v>19</v>
      </c>
      <c r="K502" s="4" t="s">
        <v>24</v>
      </c>
      <c r="L502" s="9">
        <v>44942</v>
      </c>
      <c r="M502" s="9" t="str">
        <f>TEXT(Source_data[[#This Row],[Listing_Date]],"mmm-yy")</f>
        <v>Jan-23</v>
      </c>
      <c r="N502" s="4">
        <f t="shared" si="7"/>
        <v>16973.779716466739</v>
      </c>
      <c r="O502" s="3" cm="1">
        <f t="array" ref="O502">_xlfn.IFS(AND(K502="Broker",J502="Resale"),F502*0.5,AND(K502="Owner",J502="Resale"),F502*0,AND(K502="Builder",J502="Resale"),F502*0.3,AND(J502="New",K502="Broker"),F502*0.1,AND(J502="New",K502="Owner"),F502*0,AND(J502="New",K502="Builder"),F502*0.5)</f>
        <v>7782478</v>
      </c>
    </row>
    <row r="503" spans="1:15" x14ac:dyDescent="0.3">
      <c r="A503" s="8" t="s">
        <v>552</v>
      </c>
      <c r="B503" s="4" t="s">
        <v>487</v>
      </c>
      <c r="C503" s="4" t="s">
        <v>501</v>
      </c>
      <c r="D503" s="4">
        <v>5</v>
      </c>
      <c r="E503" s="4">
        <v>2256</v>
      </c>
      <c r="F503" s="4">
        <v>27702631</v>
      </c>
      <c r="G503" s="4">
        <v>2</v>
      </c>
      <c r="H503" s="4">
        <v>1</v>
      </c>
      <c r="I503" s="4" t="s">
        <v>27</v>
      </c>
      <c r="J503" s="4" t="s">
        <v>23</v>
      </c>
      <c r="K503" s="4" t="s">
        <v>24</v>
      </c>
      <c r="L503" s="9">
        <v>45201</v>
      </c>
      <c r="M503" s="9" t="str">
        <f>TEXT(Source_data[[#This Row],[Listing_Date]],"mmm-yy")</f>
        <v>Oct-23</v>
      </c>
      <c r="N503" s="4">
        <f t="shared" si="7"/>
        <v>12279.535017730497</v>
      </c>
      <c r="O503" s="3" cm="1">
        <f t="array" ref="O503">_xlfn.IFS(AND(K503="Broker",J503="Resale"),F503*0.5,AND(K503="Owner",J503="Resale"),F503*0,AND(K503="Builder",J503="Resale"),F503*0.3,AND(J503="New",K503="Broker"),F503*0.1,AND(J503="New",K503="Owner"),F503*0,AND(J503="New",K503="Builder"),F503*0.5)</f>
        <v>8310789.2999999998</v>
      </c>
    </row>
    <row r="504" spans="1:15" x14ac:dyDescent="0.3">
      <c r="A504" s="8" t="s">
        <v>553</v>
      </c>
      <c r="B504" s="4" t="s">
        <v>487</v>
      </c>
      <c r="C504" s="4" t="s">
        <v>498</v>
      </c>
      <c r="D504" s="4">
        <v>2</v>
      </c>
      <c r="E504" s="4">
        <v>1092</v>
      </c>
      <c r="F504" s="4">
        <v>16773524</v>
      </c>
      <c r="G504" s="4">
        <v>2</v>
      </c>
      <c r="H504" s="4">
        <v>1</v>
      </c>
      <c r="I504" s="4" t="s">
        <v>27</v>
      </c>
      <c r="J504" s="4" t="s">
        <v>19</v>
      </c>
      <c r="K504" s="4" t="s">
        <v>24</v>
      </c>
      <c r="L504" s="9">
        <v>45112</v>
      </c>
      <c r="M504" s="9" t="str">
        <f>TEXT(Source_data[[#This Row],[Listing_Date]],"mmm-yy")</f>
        <v>Jul-23</v>
      </c>
      <c r="N504" s="4">
        <f t="shared" si="7"/>
        <v>15360.369963369963</v>
      </c>
      <c r="O504" s="3" cm="1">
        <f t="array" ref="O504">_xlfn.IFS(AND(K504="Broker",J504="Resale"),F504*0.5,AND(K504="Owner",J504="Resale"),F504*0,AND(K504="Builder",J504="Resale"),F504*0.3,AND(J504="New",K504="Broker"),F504*0.1,AND(J504="New",K504="Owner"),F504*0,AND(J504="New",K504="Builder"),F504*0.5)</f>
        <v>8386762</v>
      </c>
    </row>
    <row r="505" spans="1:15" x14ac:dyDescent="0.3">
      <c r="A505" s="8" t="s">
        <v>554</v>
      </c>
      <c r="B505" s="4" t="s">
        <v>487</v>
      </c>
      <c r="C505" s="4" t="s">
        <v>488</v>
      </c>
      <c r="D505" s="4">
        <v>3</v>
      </c>
      <c r="E505" s="4">
        <v>1649</v>
      </c>
      <c r="F505" s="4">
        <v>18798588</v>
      </c>
      <c r="G505" s="4">
        <v>2</v>
      </c>
      <c r="H505" s="4">
        <v>1</v>
      </c>
      <c r="I505" s="4" t="s">
        <v>8</v>
      </c>
      <c r="J505" s="4" t="s">
        <v>19</v>
      </c>
      <c r="K505" s="4" t="s">
        <v>20</v>
      </c>
      <c r="L505" s="9">
        <v>45376</v>
      </c>
      <c r="M505" s="9" t="str">
        <f>TEXT(Source_data[[#This Row],[Listing_Date]],"mmm-yy")</f>
        <v>Mar-24</v>
      </c>
      <c r="N505" s="4">
        <f t="shared" si="7"/>
        <v>11399.99272286234</v>
      </c>
      <c r="O505" s="3" cm="1">
        <f t="array" ref="O505">_xlfn.IFS(AND(K505="Broker",J505="Resale"),F505*0.5,AND(K505="Owner",J505="Resale"),F505*0,AND(K505="Builder",J505="Resale"),F505*0.3,AND(J505="New",K505="Broker"),F505*0.1,AND(J505="New",K505="Owner"),F505*0,AND(J505="New",K505="Builder"),F505*0.5)</f>
        <v>1879858.8</v>
      </c>
    </row>
    <row r="506" spans="1:15" x14ac:dyDescent="0.3">
      <c r="A506" s="8" t="s">
        <v>555</v>
      </c>
      <c r="B506" s="4" t="s">
        <v>487</v>
      </c>
      <c r="C506" s="4" t="s">
        <v>501</v>
      </c>
      <c r="D506" s="4">
        <v>4</v>
      </c>
      <c r="E506" s="4">
        <v>1389</v>
      </c>
      <c r="F506" s="4">
        <v>14746734</v>
      </c>
      <c r="G506" s="4">
        <v>2</v>
      </c>
      <c r="H506" s="4">
        <v>0</v>
      </c>
      <c r="I506" s="4" t="s">
        <v>8</v>
      </c>
      <c r="J506" s="4" t="s">
        <v>19</v>
      </c>
      <c r="K506" s="4" t="s">
        <v>20</v>
      </c>
      <c r="L506" s="9">
        <v>45843</v>
      </c>
      <c r="M506" s="9" t="str">
        <f>TEXT(Source_data[[#This Row],[Listing_Date]],"mmm-yy")</f>
        <v>Jul-25</v>
      </c>
      <c r="N506" s="4">
        <f t="shared" si="7"/>
        <v>10616.799136069114</v>
      </c>
      <c r="O506" s="3" cm="1">
        <f t="array" ref="O506">_xlfn.IFS(AND(K506="Broker",J506="Resale"),F506*0.5,AND(K506="Owner",J506="Resale"),F506*0,AND(K506="Builder",J506="Resale"),F506*0.3,AND(J506="New",K506="Broker"),F506*0.1,AND(J506="New",K506="Owner"),F506*0,AND(J506="New",K506="Builder"),F506*0.5)</f>
        <v>1474673.4000000001</v>
      </c>
    </row>
    <row r="507" spans="1:15" x14ac:dyDescent="0.3">
      <c r="A507" s="8" t="s">
        <v>556</v>
      </c>
      <c r="B507" s="4" t="s">
        <v>487</v>
      </c>
      <c r="C507" s="4" t="s">
        <v>498</v>
      </c>
      <c r="D507" s="4">
        <v>1</v>
      </c>
      <c r="E507" s="4">
        <v>579</v>
      </c>
      <c r="F507" s="4">
        <v>6415865</v>
      </c>
      <c r="G507" s="4">
        <v>1</v>
      </c>
      <c r="H507" s="4">
        <v>1</v>
      </c>
      <c r="I507" s="4" t="s">
        <v>18</v>
      </c>
      <c r="J507" s="4" t="s">
        <v>19</v>
      </c>
      <c r="K507" s="4" t="s">
        <v>24</v>
      </c>
      <c r="L507" s="9">
        <v>45341</v>
      </c>
      <c r="M507" s="9" t="str">
        <f>TEXT(Source_data[[#This Row],[Listing_Date]],"mmm-yy")</f>
        <v>Feb-24</v>
      </c>
      <c r="N507" s="4">
        <f t="shared" si="7"/>
        <v>11080.941278065631</v>
      </c>
      <c r="O507" s="3" cm="1">
        <f t="array" ref="O507">_xlfn.IFS(AND(K507="Broker",J507="Resale"),F507*0.5,AND(K507="Owner",J507="Resale"),F507*0,AND(K507="Builder",J507="Resale"),F507*0.3,AND(J507="New",K507="Broker"),F507*0.1,AND(J507="New",K507="Owner"),F507*0,AND(J507="New",K507="Builder"),F507*0.5)</f>
        <v>3207932.5</v>
      </c>
    </row>
    <row r="508" spans="1:15" x14ac:dyDescent="0.3">
      <c r="A508" s="8" t="s">
        <v>557</v>
      </c>
      <c r="B508" s="4" t="s">
        <v>487</v>
      </c>
      <c r="C508" s="4" t="s">
        <v>501</v>
      </c>
      <c r="D508" s="4">
        <v>4</v>
      </c>
      <c r="E508" s="4">
        <v>1445</v>
      </c>
      <c r="F508" s="4">
        <v>20143421</v>
      </c>
      <c r="G508" s="4">
        <v>3</v>
      </c>
      <c r="H508" s="4">
        <v>3</v>
      </c>
      <c r="I508" s="4" t="s">
        <v>27</v>
      </c>
      <c r="J508" s="4" t="s">
        <v>23</v>
      </c>
      <c r="K508" s="4" t="s">
        <v>20</v>
      </c>
      <c r="L508" s="9">
        <v>45640</v>
      </c>
      <c r="M508" s="9" t="str">
        <f>TEXT(Source_data[[#This Row],[Listing_Date]],"mmm-yy")</f>
        <v>Dec-24</v>
      </c>
      <c r="N508" s="4">
        <f t="shared" si="7"/>
        <v>13940.083737024221</v>
      </c>
      <c r="O508" s="3" cm="1">
        <f t="array" ref="O508">_xlfn.IFS(AND(K508="Broker",J508="Resale"),F508*0.5,AND(K508="Owner",J508="Resale"),F508*0,AND(K508="Builder",J508="Resale"),F508*0.3,AND(J508="New",K508="Broker"),F508*0.1,AND(J508="New",K508="Owner"),F508*0,AND(J508="New",K508="Builder"),F508*0.5)</f>
        <v>10071710.5</v>
      </c>
    </row>
    <row r="509" spans="1:15" x14ac:dyDescent="0.3">
      <c r="A509" s="8" t="s">
        <v>558</v>
      </c>
      <c r="B509" s="4" t="s">
        <v>487</v>
      </c>
      <c r="C509" s="4" t="s">
        <v>490</v>
      </c>
      <c r="D509" s="4">
        <v>3</v>
      </c>
      <c r="E509" s="4">
        <v>1173</v>
      </c>
      <c r="F509" s="4">
        <v>13194969</v>
      </c>
      <c r="G509" s="4">
        <v>3</v>
      </c>
      <c r="H509" s="4">
        <v>1</v>
      </c>
      <c r="I509" s="4" t="s">
        <v>27</v>
      </c>
      <c r="J509" s="4" t="s">
        <v>19</v>
      </c>
      <c r="K509" s="4" t="s">
        <v>20</v>
      </c>
      <c r="L509" s="9">
        <v>45810</v>
      </c>
      <c r="M509" s="9" t="str">
        <f>TEXT(Source_data[[#This Row],[Listing_Date]],"mmm-yy")</f>
        <v>Jun-25</v>
      </c>
      <c r="N509" s="4">
        <f t="shared" si="7"/>
        <v>11248.907928388748</v>
      </c>
      <c r="O509" s="3" cm="1">
        <f t="array" ref="O509">_xlfn.IFS(AND(K509="Broker",J509="Resale"),F509*0.5,AND(K509="Owner",J509="Resale"),F509*0,AND(K509="Builder",J509="Resale"),F509*0.3,AND(J509="New",K509="Broker"),F509*0.1,AND(J509="New",K509="Owner"),F509*0,AND(J509="New",K509="Builder"),F509*0.5)</f>
        <v>1319496.9000000001</v>
      </c>
    </row>
    <row r="510" spans="1:15" x14ac:dyDescent="0.3">
      <c r="A510" s="8" t="s">
        <v>559</v>
      </c>
      <c r="B510" s="4" t="s">
        <v>487</v>
      </c>
      <c r="C510" s="4" t="s">
        <v>498</v>
      </c>
      <c r="D510" s="4">
        <v>1</v>
      </c>
      <c r="E510" s="4">
        <v>634</v>
      </c>
      <c r="F510" s="4">
        <v>5896398</v>
      </c>
      <c r="G510" s="4">
        <v>1</v>
      </c>
      <c r="H510" s="4">
        <v>1</v>
      </c>
      <c r="I510" s="4" t="s">
        <v>18</v>
      </c>
      <c r="J510" s="4" t="s">
        <v>19</v>
      </c>
      <c r="K510" s="4" t="s">
        <v>36</v>
      </c>
      <c r="L510" s="9">
        <v>44993</v>
      </c>
      <c r="M510" s="9" t="str">
        <f>TEXT(Source_data[[#This Row],[Listing_Date]],"mmm-yy")</f>
        <v>Mar-23</v>
      </c>
      <c r="N510" s="4">
        <f t="shared" si="7"/>
        <v>9300.3123028391165</v>
      </c>
      <c r="O510" s="3" cm="1">
        <f t="array" ref="O510">_xlfn.IFS(AND(K510="Broker",J510="Resale"),F510*0.5,AND(K510="Owner",J510="Resale"),F510*0,AND(K510="Builder",J510="Resale"),F510*0.3,AND(J510="New",K510="Broker"),F510*0.1,AND(J510="New",K510="Owner"),F510*0,AND(J510="New",K510="Builder"),F510*0.5)</f>
        <v>0</v>
      </c>
    </row>
    <row r="511" spans="1:15" x14ac:dyDescent="0.3">
      <c r="A511" s="8" t="s">
        <v>560</v>
      </c>
      <c r="B511" s="4" t="s">
        <v>487</v>
      </c>
      <c r="C511" s="4" t="s">
        <v>495</v>
      </c>
      <c r="D511" s="4">
        <v>1</v>
      </c>
      <c r="E511" s="4">
        <v>912</v>
      </c>
      <c r="F511" s="4">
        <v>11265290</v>
      </c>
      <c r="G511" s="4">
        <v>1</v>
      </c>
      <c r="H511" s="4">
        <v>3</v>
      </c>
      <c r="I511" s="4" t="s">
        <v>27</v>
      </c>
      <c r="J511" s="4" t="s">
        <v>19</v>
      </c>
      <c r="K511" s="4" t="s">
        <v>24</v>
      </c>
      <c r="L511" s="9">
        <v>45845</v>
      </c>
      <c r="M511" s="9" t="str">
        <f>TEXT(Source_data[[#This Row],[Listing_Date]],"mmm-yy")</f>
        <v>Jul-25</v>
      </c>
      <c r="N511" s="4">
        <f t="shared" si="7"/>
        <v>12352.291666666666</v>
      </c>
      <c r="O511" s="3" cm="1">
        <f t="array" ref="O511">_xlfn.IFS(AND(K511="Broker",J511="Resale"),F511*0.5,AND(K511="Owner",J511="Resale"),F511*0,AND(K511="Builder",J511="Resale"),F511*0.3,AND(J511="New",K511="Broker"),F511*0.1,AND(J511="New",K511="Owner"),F511*0,AND(J511="New",K511="Builder"),F511*0.5)</f>
        <v>5632645</v>
      </c>
    </row>
    <row r="512" spans="1:15" x14ac:dyDescent="0.3">
      <c r="A512" s="8" t="s">
        <v>561</v>
      </c>
      <c r="B512" s="4" t="s">
        <v>487</v>
      </c>
      <c r="C512" s="4" t="s">
        <v>495</v>
      </c>
      <c r="D512" s="4">
        <v>2</v>
      </c>
      <c r="E512" s="4">
        <v>917</v>
      </c>
      <c r="F512" s="4">
        <v>14944698</v>
      </c>
      <c r="G512" s="4">
        <v>2</v>
      </c>
      <c r="H512" s="4">
        <v>1</v>
      </c>
      <c r="I512" s="4" t="s">
        <v>27</v>
      </c>
      <c r="J512" s="4" t="s">
        <v>23</v>
      </c>
      <c r="K512" s="4" t="s">
        <v>24</v>
      </c>
      <c r="L512" s="9">
        <v>45151</v>
      </c>
      <c r="M512" s="9" t="str">
        <f>TEXT(Source_data[[#This Row],[Listing_Date]],"mmm-yy")</f>
        <v>Aug-23</v>
      </c>
      <c r="N512" s="4">
        <f t="shared" si="7"/>
        <v>16297.380588876773</v>
      </c>
      <c r="O512" s="3" cm="1">
        <f t="array" ref="O512">_xlfn.IFS(AND(K512="Broker",J512="Resale"),F512*0.5,AND(K512="Owner",J512="Resale"),F512*0,AND(K512="Builder",J512="Resale"),F512*0.3,AND(J512="New",K512="Broker"),F512*0.1,AND(J512="New",K512="Owner"),F512*0,AND(J512="New",K512="Builder"),F512*0.5)</f>
        <v>4483409.3999999994</v>
      </c>
    </row>
    <row r="513" spans="1:15" x14ac:dyDescent="0.3">
      <c r="A513" s="8" t="s">
        <v>562</v>
      </c>
      <c r="B513" s="4" t="s">
        <v>487</v>
      </c>
      <c r="C513" s="4" t="s">
        <v>490</v>
      </c>
      <c r="D513" s="4">
        <v>2</v>
      </c>
      <c r="E513" s="4">
        <v>1016</v>
      </c>
      <c r="F513" s="4">
        <v>10818874</v>
      </c>
      <c r="G513" s="4">
        <v>2</v>
      </c>
      <c r="H513" s="4">
        <v>2</v>
      </c>
      <c r="I513" s="4" t="s">
        <v>18</v>
      </c>
      <c r="J513" s="4" t="s">
        <v>19</v>
      </c>
      <c r="K513" s="4" t="s">
        <v>36</v>
      </c>
      <c r="L513" s="9">
        <v>44988</v>
      </c>
      <c r="M513" s="9" t="str">
        <f>TEXT(Source_data[[#This Row],[Listing_Date]],"mmm-yy")</f>
        <v>Mar-23</v>
      </c>
      <c r="N513" s="4">
        <f t="shared" si="7"/>
        <v>10648.498031496063</v>
      </c>
      <c r="O513" s="3" cm="1">
        <f t="array" ref="O513">_xlfn.IFS(AND(K513="Broker",J513="Resale"),F513*0.5,AND(K513="Owner",J513="Resale"),F513*0,AND(K513="Builder",J513="Resale"),F513*0.3,AND(J513="New",K513="Broker"),F513*0.1,AND(J513="New",K513="Owner"),F513*0,AND(J513="New",K513="Builder"),F513*0.5)</f>
        <v>0</v>
      </c>
    </row>
    <row r="514" spans="1:15" x14ac:dyDescent="0.3">
      <c r="A514" s="8" t="s">
        <v>563</v>
      </c>
      <c r="B514" s="4" t="s">
        <v>487</v>
      </c>
      <c r="C514" s="4" t="s">
        <v>501</v>
      </c>
      <c r="D514" s="4">
        <v>1</v>
      </c>
      <c r="E514" s="4">
        <v>667</v>
      </c>
      <c r="F514" s="4">
        <v>7966385</v>
      </c>
      <c r="G514" s="4">
        <v>1</v>
      </c>
      <c r="H514" s="4">
        <v>0</v>
      </c>
      <c r="I514" s="4" t="s">
        <v>18</v>
      </c>
      <c r="J514" s="4" t="s">
        <v>23</v>
      </c>
      <c r="K514" s="4" t="s">
        <v>36</v>
      </c>
      <c r="L514" s="9">
        <v>45175</v>
      </c>
      <c r="M514" s="9" t="str">
        <f>TEXT(Source_data[[#This Row],[Listing_Date]],"mmm-yy")</f>
        <v>Sep-23</v>
      </c>
      <c r="N514" s="4">
        <f t="shared" si="7"/>
        <v>11943.605697151424</v>
      </c>
      <c r="O514" s="3" cm="1">
        <f t="array" ref="O514">_xlfn.IFS(AND(K514="Broker",J514="Resale"),F514*0.5,AND(K514="Owner",J514="Resale"),F514*0,AND(K514="Builder",J514="Resale"),F514*0.3,AND(J514="New",K514="Broker"),F514*0.1,AND(J514="New",K514="Owner"),F514*0,AND(J514="New",K514="Builder"),F514*0.5)</f>
        <v>0</v>
      </c>
    </row>
    <row r="515" spans="1:15" x14ac:dyDescent="0.3">
      <c r="A515" s="8" t="s">
        <v>564</v>
      </c>
      <c r="B515" s="4" t="s">
        <v>487</v>
      </c>
      <c r="C515" s="4" t="s">
        <v>492</v>
      </c>
      <c r="D515" s="4">
        <v>2</v>
      </c>
      <c r="E515" s="4">
        <v>1282</v>
      </c>
      <c r="F515" s="4">
        <v>15676803</v>
      </c>
      <c r="G515" s="4">
        <v>3</v>
      </c>
      <c r="H515" s="4">
        <v>2</v>
      </c>
      <c r="I515" s="4" t="s">
        <v>18</v>
      </c>
      <c r="J515" s="4" t="s">
        <v>19</v>
      </c>
      <c r="K515" s="4" t="s">
        <v>20</v>
      </c>
      <c r="L515" s="9">
        <v>45827</v>
      </c>
      <c r="M515" s="9" t="str">
        <f>TEXT(Source_data[[#This Row],[Listing_Date]],"mmm-yy")</f>
        <v>Jun-25</v>
      </c>
      <c r="N515" s="4">
        <f t="shared" ref="N515:N578" si="8">F515/E515</f>
        <v>12228.395475819032</v>
      </c>
      <c r="O515" s="3" cm="1">
        <f t="array" ref="O515">_xlfn.IFS(AND(K515="Broker",J515="Resale"),F515*0.5,AND(K515="Owner",J515="Resale"),F515*0,AND(K515="Builder",J515="Resale"),F515*0.3,AND(J515="New",K515="Broker"),F515*0.1,AND(J515="New",K515="Owner"),F515*0,AND(J515="New",K515="Builder"),F515*0.5)</f>
        <v>1567680.3</v>
      </c>
    </row>
    <row r="516" spans="1:15" x14ac:dyDescent="0.3">
      <c r="A516" s="8" t="s">
        <v>565</v>
      </c>
      <c r="B516" s="4" t="s">
        <v>487</v>
      </c>
      <c r="C516" s="4" t="s">
        <v>492</v>
      </c>
      <c r="D516" s="4">
        <v>2</v>
      </c>
      <c r="E516" s="4">
        <v>1049</v>
      </c>
      <c r="F516" s="4">
        <v>12476265</v>
      </c>
      <c r="G516" s="4">
        <v>2</v>
      </c>
      <c r="H516" s="4">
        <v>1</v>
      </c>
      <c r="I516" s="4" t="s">
        <v>27</v>
      </c>
      <c r="J516" s="4" t="s">
        <v>19</v>
      </c>
      <c r="K516" s="4" t="s">
        <v>20</v>
      </c>
      <c r="L516" s="9">
        <v>45813</v>
      </c>
      <c r="M516" s="9" t="str">
        <f>TEXT(Source_data[[#This Row],[Listing_Date]],"mmm-yy")</f>
        <v>Jun-25</v>
      </c>
      <c r="N516" s="4">
        <f t="shared" si="8"/>
        <v>11893.484270734032</v>
      </c>
      <c r="O516" s="3" cm="1">
        <f t="array" ref="O516">_xlfn.IFS(AND(K516="Broker",J516="Resale"),F516*0.5,AND(K516="Owner",J516="Resale"),F516*0,AND(K516="Builder",J516="Resale"),F516*0.3,AND(J516="New",K516="Broker"),F516*0.1,AND(J516="New",K516="Owner"),F516*0,AND(J516="New",K516="Builder"),F516*0.5)</f>
        <v>1247626.5</v>
      </c>
    </row>
    <row r="517" spans="1:15" x14ac:dyDescent="0.3">
      <c r="A517" s="8" t="s">
        <v>566</v>
      </c>
      <c r="B517" s="4" t="s">
        <v>487</v>
      </c>
      <c r="C517" s="4" t="s">
        <v>488</v>
      </c>
      <c r="D517" s="4">
        <v>2</v>
      </c>
      <c r="E517" s="4">
        <v>1302</v>
      </c>
      <c r="F517" s="4">
        <v>18990584</v>
      </c>
      <c r="G517" s="4">
        <v>2</v>
      </c>
      <c r="H517" s="4">
        <v>3</v>
      </c>
      <c r="I517" s="4" t="s">
        <v>18</v>
      </c>
      <c r="J517" s="4" t="s">
        <v>23</v>
      </c>
      <c r="K517" s="4" t="s">
        <v>20</v>
      </c>
      <c r="L517" s="9">
        <v>45718</v>
      </c>
      <c r="M517" s="9" t="str">
        <f>TEXT(Source_data[[#This Row],[Listing_Date]],"mmm-yy")</f>
        <v>Mar-25</v>
      </c>
      <c r="N517" s="4">
        <f t="shared" si="8"/>
        <v>14585.701996927803</v>
      </c>
      <c r="O517" s="3" cm="1">
        <f t="array" ref="O517">_xlfn.IFS(AND(K517="Broker",J517="Resale"),F517*0.5,AND(K517="Owner",J517="Resale"),F517*0,AND(K517="Builder",J517="Resale"),F517*0.3,AND(J517="New",K517="Broker"),F517*0.1,AND(J517="New",K517="Owner"),F517*0,AND(J517="New",K517="Builder"),F517*0.5)</f>
        <v>9495292</v>
      </c>
    </row>
    <row r="518" spans="1:15" x14ac:dyDescent="0.3">
      <c r="A518" s="8" t="s">
        <v>567</v>
      </c>
      <c r="B518" s="4" t="s">
        <v>487</v>
      </c>
      <c r="C518" s="4" t="s">
        <v>490</v>
      </c>
      <c r="D518" s="4">
        <v>5</v>
      </c>
      <c r="E518" s="4">
        <v>2591</v>
      </c>
      <c r="F518" s="4">
        <v>29948848</v>
      </c>
      <c r="G518" s="4">
        <v>4</v>
      </c>
      <c r="H518" s="4">
        <v>0</v>
      </c>
      <c r="I518" s="4" t="s">
        <v>27</v>
      </c>
      <c r="J518" s="4" t="s">
        <v>23</v>
      </c>
      <c r="K518" s="4" t="s">
        <v>36</v>
      </c>
      <c r="L518" s="9">
        <v>45235</v>
      </c>
      <c r="M518" s="9" t="str">
        <f>TEXT(Source_data[[#This Row],[Listing_Date]],"mmm-yy")</f>
        <v>Nov-23</v>
      </c>
      <c r="N518" s="4">
        <f t="shared" si="8"/>
        <v>11558.798919336165</v>
      </c>
      <c r="O518" s="3" cm="1">
        <f t="array" ref="O518">_xlfn.IFS(AND(K518="Broker",J518="Resale"),F518*0.5,AND(K518="Owner",J518="Resale"),F518*0,AND(K518="Builder",J518="Resale"),F518*0.3,AND(J518="New",K518="Broker"),F518*0.1,AND(J518="New",K518="Owner"),F518*0,AND(J518="New",K518="Builder"),F518*0.5)</f>
        <v>0</v>
      </c>
    </row>
    <row r="519" spans="1:15" x14ac:dyDescent="0.3">
      <c r="A519" s="8" t="s">
        <v>568</v>
      </c>
      <c r="B519" s="4" t="s">
        <v>487</v>
      </c>
      <c r="C519" s="4" t="s">
        <v>495</v>
      </c>
      <c r="D519" s="4">
        <v>3</v>
      </c>
      <c r="E519" s="4">
        <v>1522</v>
      </c>
      <c r="F519" s="4">
        <v>20478699</v>
      </c>
      <c r="G519" s="4">
        <v>4</v>
      </c>
      <c r="H519" s="4">
        <v>2</v>
      </c>
      <c r="I519" s="4" t="s">
        <v>8</v>
      </c>
      <c r="J519" s="4" t="s">
        <v>19</v>
      </c>
      <c r="K519" s="4" t="s">
        <v>36</v>
      </c>
      <c r="L519" s="9">
        <v>45029</v>
      </c>
      <c r="M519" s="9" t="str">
        <f>TEXT(Source_data[[#This Row],[Listing_Date]],"mmm-yy")</f>
        <v>Apr-23</v>
      </c>
      <c r="N519" s="4">
        <f t="shared" si="8"/>
        <v>13455.12417871222</v>
      </c>
      <c r="O519" s="3" cm="1">
        <f t="array" ref="O519">_xlfn.IFS(AND(K519="Broker",J519="Resale"),F519*0.5,AND(K519="Owner",J519="Resale"),F519*0,AND(K519="Builder",J519="Resale"),F519*0.3,AND(J519="New",K519="Broker"),F519*0.1,AND(J519="New",K519="Owner"),F519*0,AND(J519="New",K519="Builder"),F519*0.5)</f>
        <v>0</v>
      </c>
    </row>
    <row r="520" spans="1:15" x14ac:dyDescent="0.3">
      <c r="A520" s="8" t="s">
        <v>569</v>
      </c>
      <c r="B520" s="4" t="s">
        <v>487</v>
      </c>
      <c r="C520" s="4" t="s">
        <v>492</v>
      </c>
      <c r="D520" s="4">
        <v>3</v>
      </c>
      <c r="E520" s="4">
        <v>1730</v>
      </c>
      <c r="F520" s="4">
        <v>20432688</v>
      </c>
      <c r="G520" s="4">
        <v>3</v>
      </c>
      <c r="H520" s="4">
        <v>1</v>
      </c>
      <c r="I520" s="4" t="s">
        <v>8</v>
      </c>
      <c r="J520" s="4" t="s">
        <v>19</v>
      </c>
      <c r="K520" s="4" t="s">
        <v>36</v>
      </c>
      <c r="L520" s="9">
        <v>44955</v>
      </c>
      <c r="M520" s="9" t="str">
        <f>TEXT(Source_data[[#This Row],[Listing_Date]],"mmm-yy")</f>
        <v>Jan-23</v>
      </c>
      <c r="N520" s="4">
        <f t="shared" si="8"/>
        <v>11810.802312138729</v>
      </c>
      <c r="O520" s="3" cm="1">
        <f t="array" ref="O520">_xlfn.IFS(AND(K520="Broker",J520="Resale"),F520*0.5,AND(K520="Owner",J520="Resale"),F520*0,AND(K520="Builder",J520="Resale"),F520*0.3,AND(J520="New",K520="Broker"),F520*0.1,AND(J520="New",K520="Owner"),F520*0,AND(J520="New",K520="Builder"),F520*0.5)</f>
        <v>0</v>
      </c>
    </row>
    <row r="521" spans="1:15" x14ac:dyDescent="0.3">
      <c r="A521" s="8" t="s">
        <v>570</v>
      </c>
      <c r="B521" s="4" t="s">
        <v>487</v>
      </c>
      <c r="C521" s="4" t="s">
        <v>492</v>
      </c>
      <c r="D521" s="4">
        <v>2</v>
      </c>
      <c r="E521" s="4">
        <v>721</v>
      </c>
      <c r="F521" s="4">
        <v>8388061</v>
      </c>
      <c r="G521" s="4">
        <v>2</v>
      </c>
      <c r="H521" s="4">
        <v>1</v>
      </c>
      <c r="I521" s="4" t="s">
        <v>27</v>
      </c>
      <c r="J521" s="4" t="s">
        <v>19</v>
      </c>
      <c r="K521" s="4" t="s">
        <v>24</v>
      </c>
      <c r="L521" s="9">
        <v>45181</v>
      </c>
      <c r="M521" s="9" t="str">
        <f>TEXT(Source_data[[#This Row],[Listing_Date]],"mmm-yy")</f>
        <v>Sep-23</v>
      </c>
      <c r="N521" s="4">
        <f t="shared" si="8"/>
        <v>11633.926490984744</v>
      </c>
      <c r="O521" s="3" cm="1">
        <f t="array" ref="O521">_xlfn.IFS(AND(K521="Broker",J521="Resale"),F521*0.5,AND(K521="Owner",J521="Resale"),F521*0,AND(K521="Builder",J521="Resale"),F521*0.3,AND(J521="New",K521="Broker"),F521*0.1,AND(J521="New",K521="Owner"),F521*0,AND(J521="New",K521="Builder"),F521*0.5)</f>
        <v>4194030.5</v>
      </c>
    </row>
    <row r="522" spans="1:15" x14ac:dyDescent="0.3">
      <c r="A522" s="8" t="s">
        <v>571</v>
      </c>
      <c r="B522" s="4" t="s">
        <v>487</v>
      </c>
      <c r="C522" s="4" t="s">
        <v>490</v>
      </c>
      <c r="D522" s="4">
        <v>4</v>
      </c>
      <c r="E522" s="4">
        <v>2101</v>
      </c>
      <c r="F522" s="4">
        <v>18043752</v>
      </c>
      <c r="G522" s="4">
        <v>3</v>
      </c>
      <c r="H522" s="4">
        <v>0</v>
      </c>
      <c r="I522" s="4" t="s">
        <v>27</v>
      </c>
      <c r="J522" s="4" t="s">
        <v>23</v>
      </c>
      <c r="K522" s="4" t="s">
        <v>24</v>
      </c>
      <c r="L522" s="9">
        <v>45514</v>
      </c>
      <c r="M522" s="9" t="str">
        <f>TEXT(Source_data[[#This Row],[Listing_Date]],"mmm-yy")</f>
        <v>Aug-24</v>
      </c>
      <c r="N522" s="4">
        <f t="shared" si="8"/>
        <v>8588.1732508329369</v>
      </c>
      <c r="O522" s="3" cm="1">
        <f t="array" ref="O522">_xlfn.IFS(AND(K522="Broker",J522="Resale"),F522*0.5,AND(K522="Owner",J522="Resale"),F522*0,AND(K522="Builder",J522="Resale"),F522*0.3,AND(J522="New",K522="Broker"),F522*0.1,AND(J522="New",K522="Owner"),F522*0,AND(J522="New",K522="Builder"),F522*0.5)</f>
        <v>5413125.5999999996</v>
      </c>
    </row>
    <row r="523" spans="1:15" x14ac:dyDescent="0.3">
      <c r="A523" s="8" t="s">
        <v>572</v>
      </c>
      <c r="B523" s="4" t="s">
        <v>487</v>
      </c>
      <c r="C523" s="4" t="s">
        <v>488</v>
      </c>
      <c r="D523" s="4">
        <v>3</v>
      </c>
      <c r="E523" s="4">
        <v>1213</v>
      </c>
      <c r="F523" s="4">
        <v>17114807</v>
      </c>
      <c r="G523" s="4">
        <v>4</v>
      </c>
      <c r="H523" s="4">
        <v>4</v>
      </c>
      <c r="I523" s="4" t="s">
        <v>18</v>
      </c>
      <c r="J523" s="4" t="s">
        <v>19</v>
      </c>
      <c r="K523" s="4" t="s">
        <v>20</v>
      </c>
      <c r="L523" s="9">
        <v>45518</v>
      </c>
      <c r="M523" s="9" t="str">
        <f>TEXT(Source_data[[#This Row],[Listing_Date]],"mmm-yy")</f>
        <v>Aug-24</v>
      </c>
      <c r="N523" s="4">
        <f t="shared" si="8"/>
        <v>14109.486397361912</v>
      </c>
      <c r="O523" s="3" cm="1">
        <f t="array" ref="O523">_xlfn.IFS(AND(K523="Broker",J523="Resale"),F523*0.5,AND(K523="Owner",J523="Resale"),F523*0,AND(K523="Builder",J523="Resale"),F523*0.3,AND(J523="New",K523="Broker"),F523*0.1,AND(J523="New",K523="Owner"),F523*0,AND(J523="New",K523="Builder"),F523*0.5)</f>
        <v>1711480.7000000002</v>
      </c>
    </row>
    <row r="524" spans="1:15" x14ac:dyDescent="0.3">
      <c r="A524" s="8" t="s">
        <v>573</v>
      </c>
      <c r="B524" s="4" t="s">
        <v>487</v>
      </c>
      <c r="C524" s="4" t="s">
        <v>498</v>
      </c>
      <c r="D524" s="4">
        <v>2</v>
      </c>
      <c r="E524" s="4">
        <v>1195</v>
      </c>
      <c r="F524" s="4">
        <v>17737181</v>
      </c>
      <c r="G524" s="4">
        <v>2</v>
      </c>
      <c r="H524" s="4">
        <v>3</v>
      </c>
      <c r="I524" s="4" t="s">
        <v>27</v>
      </c>
      <c r="J524" s="4" t="s">
        <v>23</v>
      </c>
      <c r="K524" s="4" t="s">
        <v>20</v>
      </c>
      <c r="L524" s="9">
        <v>45433</v>
      </c>
      <c r="M524" s="9" t="str">
        <f>TEXT(Source_data[[#This Row],[Listing_Date]],"mmm-yy")</f>
        <v>May-24</v>
      </c>
      <c r="N524" s="4">
        <f t="shared" si="8"/>
        <v>14842.829288702929</v>
      </c>
      <c r="O524" s="3" cm="1">
        <f t="array" ref="O524">_xlfn.IFS(AND(K524="Broker",J524="Resale"),F524*0.5,AND(K524="Owner",J524="Resale"),F524*0,AND(K524="Builder",J524="Resale"),F524*0.3,AND(J524="New",K524="Broker"),F524*0.1,AND(J524="New",K524="Owner"),F524*0,AND(J524="New",K524="Builder"),F524*0.5)</f>
        <v>8868590.5</v>
      </c>
    </row>
    <row r="525" spans="1:15" x14ac:dyDescent="0.3">
      <c r="A525" s="8" t="s">
        <v>574</v>
      </c>
      <c r="B525" s="4" t="s">
        <v>487</v>
      </c>
      <c r="C525" s="4" t="s">
        <v>488</v>
      </c>
      <c r="D525" s="4">
        <v>2</v>
      </c>
      <c r="E525" s="4">
        <v>583</v>
      </c>
      <c r="F525" s="4">
        <v>7962553</v>
      </c>
      <c r="G525" s="4">
        <v>2</v>
      </c>
      <c r="H525" s="4">
        <v>2</v>
      </c>
      <c r="I525" s="4" t="s">
        <v>8</v>
      </c>
      <c r="J525" s="4" t="s">
        <v>19</v>
      </c>
      <c r="K525" s="4" t="s">
        <v>24</v>
      </c>
      <c r="L525" s="9">
        <v>45474</v>
      </c>
      <c r="M525" s="9" t="str">
        <f>TEXT(Source_data[[#This Row],[Listing_Date]],"mmm-yy")</f>
        <v>Jul-24</v>
      </c>
      <c r="N525" s="4">
        <f t="shared" si="8"/>
        <v>13657.895368782161</v>
      </c>
      <c r="O525" s="3" cm="1">
        <f t="array" ref="O525">_xlfn.IFS(AND(K525="Broker",J525="Resale"),F525*0.5,AND(K525="Owner",J525="Resale"),F525*0,AND(K525="Builder",J525="Resale"),F525*0.3,AND(J525="New",K525="Broker"),F525*0.1,AND(J525="New",K525="Owner"),F525*0,AND(J525="New",K525="Builder"),F525*0.5)</f>
        <v>3981276.5</v>
      </c>
    </row>
    <row r="526" spans="1:15" x14ac:dyDescent="0.3">
      <c r="A526" s="8" t="s">
        <v>575</v>
      </c>
      <c r="B526" s="4" t="s">
        <v>487</v>
      </c>
      <c r="C526" s="4" t="s">
        <v>490</v>
      </c>
      <c r="D526" s="4">
        <v>2</v>
      </c>
      <c r="E526" s="4">
        <v>1236</v>
      </c>
      <c r="F526" s="4">
        <v>15214081</v>
      </c>
      <c r="G526" s="4">
        <v>2</v>
      </c>
      <c r="H526" s="4">
        <v>2</v>
      </c>
      <c r="I526" s="4" t="s">
        <v>27</v>
      </c>
      <c r="J526" s="4" t="s">
        <v>23</v>
      </c>
      <c r="K526" s="4" t="s">
        <v>24</v>
      </c>
      <c r="L526" s="9">
        <v>45431</v>
      </c>
      <c r="M526" s="9" t="str">
        <f>TEXT(Source_data[[#This Row],[Listing_Date]],"mmm-yy")</f>
        <v>May-24</v>
      </c>
      <c r="N526" s="4">
        <f t="shared" si="8"/>
        <v>12309.127022653722</v>
      </c>
      <c r="O526" s="3" cm="1">
        <f t="array" ref="O526">_xlfn.IFS(AND(K526="Broker",J526="Resale"),F526*0.5,AND(K526="Owner",J526="Resale"),F526*0,AND(K526="Builder",J526="Resale"),F526*0.3,AND(J526="New",K526="Broker"),F526*0.1,AND(J526="New",K526="Owner"),F526*0,AND(J526="New",K526="Builder"),F526*0.5)</f>
        <v>4564224.3</v>
      </c>
    </row>
    <row r="527" spans="1:15" x14ac:dyDescent="0.3">
      <c r="A527" s="8" t="s">
        <v>576</v>
      </c>
      <c r="B527" s="4" t="s">
        <v>487</v>
      </c>
      <c r="C527" s="4" t="s">
        <v>498</v>
      </c>
      <c r="D527" s="4">
        <v>2</v>
      </c>
      <c r="E527" s="4">
        <v>1145</v>
      </c>
      <c r="F527" s="4">
        <v>15876906</v>
      </c>
      <c r="G527" s="4">
        <v>2</v>
      </c>
      <c r="H527" s="4">
        <v>3</v>
      </c>
      <c r="I527" s="4" t="s">
        <v>8</v>
      </c>
      <c r="J527" s="4" t="s">
        <v>23</v>
      </c>
      <c r="K527" s="4" t="s">
        <v>24</v>
      </c>
      <c r="L527" s="9">
        <v>45040</v>
      </c>
      <c r="M527" s="9" t="str">
        <f>TEXT(Source_data[[#This Row],[Listing_Date]],"mmm-yy")</f>
        <v>Apr-23</v>
      </c>
      <c r="N527" s="4">
        <f t="shared" si="8"/>
        <v>13866.293449781659</v>
      </c>
      <c r="O527" s="3" cm="1">
        <f t="array" ref="O527">_xlfn.IFS(AND(K527="Broker",J527="Resale"),F527*0.5,AND(K527="Owner",J527="Resale"),F527*0,AND(K527="Builder",J527="Resale"),F527*0.3,AND(J527="New",K527="Broker"),F527*0.1,AND(J527="New",K527="Owner"),F527*0,AND(J527="New",K527="Builder"),F527*0.5)</f>
        <v>4763071.8</v>
      </c>
    </row>
    <row r="528" spans="1:15" x14ac:dyDescent="0.3">
      <c r="A528" s="8" t="s">
        <v>577</v>
      </c>
      <c r="B528" s="4" t="s">
        <v>487</v>
      </c>
      <c r="C528" s="4" t="s">
        <v>490</v>
      </c>
      <c r="D528" s="4">
        <v>3</v>
      </c>
      <c r="E528" s="4">
        <v>1183</v>
      </c>
      <c r="F528" s="4">
        <v>13377190</v>
      </c>
      <c r="G528" s="4">
        <v>2</v>
      </c>
      <c r="H528" s="4">
        <v>1</v>
      </c>
      <c r="I528" s="4" t="s">
        <v>27</v>
      </c>
      <c r="J528" s="4" t="s">
        <v>19</v>
      </c>
      <c r="K528" s="4" t="s">
        <v>24</v>
      </c>
      <c r="L528" s="9">
        <v>45688</v>
      </c>
      <c r="M528" s="9" t="str">
        <f>TEXT(Source_data[[#This Row],[Listing_Date]],"mmm-yy")</f>
        <v>Jan-25</v>
      </c>
      <c r="N528" s="4">
        <f t="shared" si="8"/>
        <v>11307.852916314454</v>
      </c>
      <c r="O528" s="3" cm="1">
        <f t="array" ref="O528">_xlfn.IFS(AND(K528="Broker",J528="Resale"),F528*0.5,AND(K528="Owner",J528="Resale"),F528*0,AND(K528="Builder",J528="Resale"),F528*0.3,AND(J528="New",K528="Broker"),F528*0.1,AND(J528="New",K528="Owner"),F528*0,AND(J528="New",K528="Builder"),F528*0.5)</f>
        <v>6688595</v>
      </c>
    </row>
    <row r="529" spans="1:15" x14ac:dyDescent="0.3">
      <c r="A529" s="8" t="s">
        <v>578</v>
      </c>
      <c r="B529" s="4" t="s">
        <v>487</v>
      </c>
      <c r="C529" s="4" t="s">
        <v>488</v>
      </c>
      <c r="D529" s="4">
        <v>2</v>
      </c>
      <c r="E529" s="4">
        <v>1253</v>
      </c>
      <c r="F529" s="4">
        <v>13408472</v>
      </c>
      <c r="G529" s="4">
        <v>2</v>
      </c>
      <c r="H529" s="4">
        <v>1</v>
      </c>
      <c r="I529" s="4" t="s">
        <v>18</v>
      </c>
      <c r="J529" s="4" t="s">
        <v>19</v>
      </c>
      <c r="K529" s="4" t="s">
        <v>36</v>
      </c>
      <c r="L529" s="9">
        <v>45578</v>
      </c>
      <c r="M529" s="9" t="str">
        <f>TEXT(Source_data[[#This Row],[Listing_Date]],"mmm-yy")</f>
        <v>Oct-24</v>
      </c>
      <c r="N529" s="4">
        <f t="shared" si="8"/>
        <v>10701.09497206704</v>
      </c>
      <c r="O529" s="3" cm="1">
        <f t="array" ref="O529">_xlfn.IFS(AND(K529="Broker",J529="Resale"),F529*0.5,AND(K529="Owner",J529="Resale"),F529*0,AND(K529="Builder",J529="Resale"),F529*0.3,AND(J529="New",K529="Broker"),F529*0.1,AND(J529="New",K529="Owner"),F529*0,AND(J529="New",K529="Builder"),F529*0.5)</f>
        <v>0</v>
      </c>
    </row>
    <row r="530" spans="1:15" x14ac:dyDescent="0.3">
      <c r="A530" s="8" t="s">
        <v>579</v>
      </c>
      <c r="B530" s="4" t="s">
        <v>487</v>
      </c>
      <c r="C530" s="4" t="s">
        <v>495</v>
      </c>
      <c r="D530" s="4">
        <v>4</v>
      </c>
      <c r="E530" s="4">
        <v>1138</v>
      </c>
      <c r="F530" s="4">
        <v>13463700</v>
      </c>
      <c r="G530" s="4">
        <v>3</v>
      </c>
      <c r="H530" s="4">
        <v>1</v>
      </c>
      <c r="I530" s="4" t="s">
        <v>18</v>
      </c>
      <c r="J530" s="4" t="s">
        <v>19</v>
      </c>
      <c r="K530" s="4" t="s">
        <v>36</v>
      </c>
      <c r="L530" s="9">
        <v>45560</v>
      </c>
      <c r="M530" s="9" t="str">
        <f>TEXT(Source_data[[#This Row],[Listing_Date]],"mmm-yy")</f>
        <v>Sep-24</v>
      </c>
      <c r="N530" s="4">
        <f t="shared" si="8"/>
        <v>11831.019332161688</v>
      </c>
      <c r="O530" s="3" cm="1">
        <f t="array" ref="O530">_xlfn.IFS(AND(K530="Broker",J530="Resale"),F530*0.5,AND(K530="Owner",J530="Resale"),F530*0,AND(K530="Builder",J530="Resale"),F530*0.3,AND(J530="New",K530="Broker"),F530*0.1,AND(J530="New",K530="Owner"),F530*0,AND(J530="New",K530="Builder"),F530*0.5)</f>
        <v>0</v>
      </c>
    </row>
    <row r="531" spans="1:15" x14ac:dyDescent="0.3">
      <c r="A531" s="8" t="s">
        <v>580</v>
      </c>
      <c r="B531" s="4" t="s">
        <v>487</v>
      </c>
      <c r="C531" s="4" t="s">
        <v>495</v>
      </c>
      <c r="D531" s="4">
        <v>4</v>
      </c>
      <c r="E531" s="4">
        <v>1316</v>
      </c>
      <c r="F531" s="4">
        <v>16947757</v>
      </c>
      <c r="G531" s="4">
        <v>2</v>
      </c>
      <c r="H531" s="4">
        <v>2</v>
      </c>
      <c r="I531" s="4" t="s">
        <v>8</v>
      </c>
      <c r="J531" s="4" t="s">
        <v>19</v>
      </c>
      <c r="K531" s="4" t="s">
        <v>20</v>
      </c>
      <c r="L531" s="9">
        <v>45087</v>
      </c>
      <c r="M531" s="9" t="str">
        <f>TEXT(Source_data[[#This Row],[Listing_Date]],"mmm-yy")</f>
        <v>Jun-23</v>
      </c>
      <c r="N531" s="4">
        <f t="shared" si="8"/>
        <v>12878.234802431611</v>
      </c>
      <c r="O531" s="3" cm="1">
        <f t="array" ref="O531">_xlfn.IFS(AND(K531="Broker",J531="Resale"),F531*0.5,AND(K531="Owner",J531="Resale"),F531*0,AND(K531="Builder",J531="Resale"),F531*0.3,AND(J531="New",K531="Broker"),F531*0.1,AND(J531="New",K531="Owner"),F531*0,AND(J531="New",K531="Builder"),F531*0.5)</f>
        <v>1694775.7000000002</v>
      </c>
    </row>
    <row r="532" spans="1:15" x14ac:dyDescent="0.3">
      <c r="A532" s="8" t="s">
        <v>581</v>
      </c>
      <c r="B532" s="4" t="s">
        <v>487</v>
      </c>
      <c r="C532" s="4" t="s">
        <v>488</v>
      </c>
      <c r="D532" s="4">
        <v>2</v>
      </c>
      <c r="E532" s="4">
        <v>1064</v>
      </c>
      <c r="F532" s="4">
        <v>11113416</v>
      </c>
      <c r="G532" s="4">
        <v>2</v>
      </c>
      <c r="H532" s="4">
        <v>2</v>
      </c>
      <c r="I532" s="4" t="s">
        <v>8</v>
      </c>
      <c r="J532" s="4" t="s">
        <v>19</v>
      </c>
      <c r="K532" s="4" t="s">
        <v>24</v>
      </c>
      <c r="L532" s="9">
        <v>45082</v>
      </c>
      <c r="M532" s="9" t="str">
        <f>TEXT(Source_data[[#This Row],[Listing_Date]],"mmm-yy")</f>
        <v>Jun-23</v>
      </c>
      <c r="N532" s="4">
        <f t="shared" si="8"/>
        <v>10444.939849624061</v>
      </c>
      <c r="O532" s="3" cm="1">
        <f t="array" ref="O532">_xlfn.IFS(AND(K532="Broker",J532="Resale"),F532*0.5,AND(K532="Owner",J532="Resale"),F532*0,AND(K532="Builder",J532="Resale"),F532*0.3,AND(J532="New",K532="Broker"),F532*0.1,AND(J532="New",K532="Owner"),F532*0,AND(J532="New",K532="Builder"),F532*0.5)</f>
        <v>5556708</v>
      </c>
    </row>
    <row r="533" spans="1:15" x14ac:dyDescent="0.3">
      <c r="A533" s="8" t="s">
        <v>582</v>
      </c>
      <c r="B533" s="4" t="s">
        <v>487</v>
      </c>
      <c r="C533" s="4" t="s">
        <v>488</v>
      </c>
      <c r="D533" s="4">
        <v>2</v>
      </c>
      <c r="E533" s="4">
        <v>839</v>
      </c>
      <c r="F533" s="4">
        <v>12783268</v>
      </c>
      <c r="G533" s="4">
        <v>3</v>
      </c>
      <c r="H533" s="4">
        <v>1</v>
      </c>
      <c r="I533" s="4" t="s">
        <v>18</v>
      </c>
      <c r="J533" s="4" t="s">
        <v>23</v>
      </c>
      <c r="K533" s="4" t="s">
        <v>36</v>
      </c>
      <c r="L533" s="9">
        <v>45430</v>
      </c>
      <c r="M533" s="9" t="str">
        <f>TEXT(Source_data[[#This Row],[Listing_Date]],"mmm-yy")</f>
        <v>May-24</v>
      </c>
      <c r="N533" s="4">
        <f t="shared" si="8"/>
        <v>15236.314660309892</v>
      </c>
      <c r="O533" s="3" cm="1">
        <f t="array" ref="O533">_xlfn.IFS(AND(K533="Broker",J533="Resale"),F533*0.5,AND(K533="Owner",J533="Resale"),F533*0,AND(K533="Builder",J533="Resale"),F533*0.3,AND(J533="New",K533="Broker"),F533*0.1,AND(J533="New",K533="Owner"),F533*0,AND(J533="New",K533="Builder"),F533*0.5)</f>
        <v>0</v>
      </c>
    </row>
    <row r="534" spans="1:15" x14ac:dyDescent="0.3">
      <c r="A534" s="8" t="s">
        <v>583</v>
      </c>
      <c r="B534" s="4" t="s">
        <v>487</v>
      </c>
      <c r="C534" s="4" t="s">
        <v>488</v>
      </c>
      <c r="D534" s="4">
        <v>2</v>
      </c>
      <c r="E534" s="4">
        <v>1078</v>
      </c>
      <c r="F534" s="4">
        <v>14265884</v>
      </c>
      <c r="G534" s="4">
        <v>2</v>
      </c>
      <c r="H534" s="4">
        <v>1</v>
      </c>
      <c r="I534" s="4" t="s">
        <v>27</v>
      </c>
      <c r="J534" s="4" t="s">
        <v>19</v>
      </c>
      <c r="K534" s="4" t="s">
        <v>24</v>
      </c>
      <c r="L534" s="9">
        <v>45872</v>
      </c>
      <c r="M534" s="9" t="str">
        <f>TEXT(Source_data[[#This Row],[Listing_Date]],"mmm-yy")</f>
        <v>Aug-25</v>
      </c>
      <c r="N534" s="4">
        <f t="shared" si="8"/>
        <v>13233.658627087199</v>
      </c>
      <c r="O534" s="3" cm="1">
        <f t="array" ref="O534">_xlfn.IFS(AND(K534="Broker",J534="Resale"),F534*0.5,AND(K534="Owner",J534="Resale"),F534*0,AND(K534="Builder",J534="Resale"),F534*0.3,AND(J534="New",K534="Broker"),F534*0.1,AND(J534="New",K534="Owner"),F534*0,AND(J534="New",K534="Builder"),F534*0.5)</f>
        <v>7132942</v>
      </c>
    </row>
    <row r="535" spans="1:15" x14ac:dyDescent="0.3">
      <c r="A535" s="8" t="s">
        <v>584</v>
      </c>
      <c r="B535" s="4" t="s">
        <v>487</v>
      </c>
      <c r="C535" s="4" t="s">
        <v>501</v>
      </c>
      <c r="D535" s="4">
        <v>2</v>
      </c>
      <c r="E535" s="4">
        <v>1267</v>
      </c>
      <c r="F535" s="4">
        <v>16944707</v>
      </c>
      <c r="G535" s="4">
        <v>1</v>
      </c>
      <c r="H535" s="4">
        <v>3</v>
      </c>
      <c r="I535" s="4" t="s">
        <v>18</v>
      </c>
      <c r="J535" s="4" t="s">
        <v>23</v>
      </c>
      <c r="K535" s="4" t="s">
        <v>20</v>
      </c>
      <c r="L535" s="9">
        <v>45612</v>
      </c>
      <c r="M535" s="9" t="str">
        <f>TEXT(Source_data[[#This Row],[Listing_Date]],"mmm-yy")</f>
        <v>Nov-24</v>
      </c>
      <c r="N535" s="4">
        <f t="shared" si="8"/>
        <v>13373.880820836623</v>
      </c>
      <c r="O535" s="3" cm="1">
        <f t="array" ref="O535">_xlfn.IFS(AND(K535="Broker",J535="Resale"),F535*0.5,AND(K535="Owner",J535="Resale"),F535*0,AND(K535="Builder",J535="Resale"),F535*0.3,AND(J535="New",K535="Broker"),F535*0.1,AND(J535="New",K535="Owner"),F535*0,AND(J535="New",K535="Builder"),F535*0.5)</f>
        <v>8472353.5</v>
      </c>
    </row>
    <row r="536" spans="1:15" x14ac:dyDescent="0.3">
      <c r="A536" s="8" t="s">
        <v>585</v>
      </c>
      <c r="B536" s="4" t="s">
        <v>487</v>
      </c>
      <c r="C536" s="4" t="s">
        <v>488</v>
      </c>
      <c r="D536" s="4">
        <v>2</v>
      </c>
      <c r="E536" s="4">
        <v>985</v>
      </c>
      <c r="F536" s="4">
        <v>11497040</v>
      </c>
      <c r="G536" s="4">
        <v>1</v>
      </c>
      <c r="H536" s="4">
        <v>1</v>
      </c>
      <c r="I536" s="4" t="s">
        <v>8</v>
      </c>
      <c r="J536" s="4" t="s">
        <v>23</v>
      </c>
      <c r="K536" s="4" t="s">
        <v>36</v>
      </c>
      <c r="L536" s="9">
        <v>45005</v>
      </c>
      <c r="M536" s="9" t="str">
        <f>TEXT(Source_data[[#This Row],[Listing_Date]],"mmm-yy")</f>
        <v>Mar-23</v>
      </c>
      <c r="N536" s="4">
        <f t="shared" si="8"/>
        <v>11672.121827411167</v>
      </c>
      <c r="O536" s="3" cm="1">
        <f t="array" ref="O536">_xlfn.IFS(AND(K536="Broker",J536="Resale"),F536*0.5,AND(K536="Owner",J536="Resale"),F536*0,AND(K536="Builder",J536="Resale"),F536*0.3,AND(J536="New",K536="Broker"),F536*0.1,AND(J536="New",K536="Owner"),F536*0,AND(J536="New",K536="Builder"),F536*0.5)</f>
        <v>0</v>
      </c>
    </row>
    <row r="537" spans="1:15" x14ac:dyDescent="0.3">
      <c r="A537" s="8" t="s">
        <v>586</v>
      </c>
      <c r="B537" s="4" t="s">
        <v>487</v>
      </c>
      <c r="C537" s="4" t="s">
        <v>490</v>
      </c>
      <c r="D537" s="4">
        <v>3</v>
      </c>
      <c r="E537" s="4">
        <v>1594</v>
      </c>
      <c r="F537" s="4">
        <v>25606768</v>
      </c>
      <c r="G537" s="4">
        <v>3</v>
      </c>
      <c r="H537" s="4">
        <v>1</v>
      </c>
      <c r="I537" s="4" t="s">
        <v>18</v>
      </c>
      <c r="J537" s="4" t="s">
        <v>19</v>
      </c>
      <c r="K537" s="4" t="s">
        <v>36</v>
      </c>
      <c r="L537" s="9">
        <v>45116</v>
      </c>
      <c r="M537" s="9" t="str">
        <f>TEXT(Source_data[[#This Row],[Listing_Date]],"mmm-yy")</f>
        <v>Jul-23</v>
      </c>
      <c r="N537" s="4">
        <f t="shared" si="8"/>
        <v>16064.471769134254</v>
      </c>
      <c r="O537" s="3" cm="1">
        <f t="array" ref="O537">_xlfn.IFS(AND(K537="Broker",J537="Resale"),F537*0.5,AND(K537="Owner",J537="Resale"),F537*0,AND(K537="Builder",J537="Resale"),F537*0.3,AND(J537="New",K537="Broker"),F537*0.1,AND(J537="New",K537="Owner"),F537*0,AND(J537="New",K537="Builder"),F537*0.5)</f>
        <v>0</v>
      </c>
    </row>
    <row r="538" spans="1:15" x14ac:dyDescent="0.3">
      <c r="A538" s="8" t="s">
        <v>587</v>
      </c>
      <c r="B538" s="4" t="s">
        <v>487</v>
      </c>
      <c r="C538" s="4" t="s">
        <v>501</v>
      </c>
      <c r="D538" s="4">
        <v>2</v>
      </c>
      <c r="E538" s="4">
        <v>1054</v>
      </c>
      <c r="F538" s="4">
        <v>12810240</v>
      </c>
      <c r="G538" s="4">
        <v>2</v>
      </c>
      <c r="H538" s="4">
        <v>1</v>
      </c>
      <c r="I538" s="4" t="s">
        <v>8</v>
      </c>
      <c r="J538" s="4" t="s">
        <v>23</v>
      </c>
      <c r="K538" s="4" t="s">
        <v>36</v>
      </c>
      <c r="L538" s="9">
        <v>45080</v>
      </c>
      <c r="M538" s="9" t="str">
        <f>TEXT(Source_data[[#This Row],[Listing_Date]],"mmm-yy")</f>
        <v>Jun-23</v>
      </c>
      <c r="N538" s="4">
        <f t="shared" si="8"/>
        <v>12153.92789373814</v>
      </c>
      <c r="O538" s="3" cm="1">
        <f t="array" ref="O538">_xlfn.IFS(AND(K538="Broker",J538="Resale"),F538*0.5,AND(K538="Owner",J538="Resale"),F538*0,AND(K538="Builder",J538="Resale"),F538*0.3,AND(J538="New",K538="Broker"),F538*0.1,AND(J538="New",K538="Owner"),F538*0,AND(J538="New",K538="Builder"),F538*0.5)</f>
        <v>0</v>
      </c>
    </row>
    <row r="539" spans="1:15" x14ac:dyDescent="0.3">
      <c r="A539" s="8" t="s">
        <v>588</v>
      </c>
      <c r="B539" s="4" t="s">
        <v>487</v>
      </c>
      <c r="C539" s="4" t="s">
        <v>501</v>
      </c>
      <c r="D539" s="4">
        <v>2</v>
      </c>
      <c r="E539" s="4">
        <v>1249</v>
      </c>
      <c r="F539" s="4">
        <v>16225269</v>
      </c>
      <c r="G539" s="4">
        <v>2</v>
      </c>
      <c r="H539" s="4">
        <v>1</v>
      </c>
      <c r="I539" s="4" t="s">
        <v>27</v>
      </c>
      <c r="J539" s="4" t="s">
        <v>19</v>
      </c>
      <c r="K539" s="4" t="s">
        <v>24</v>
      </c>
      <c r="L539" s="9">
        <v>44962</v>
      </c>
      <c r="M539" s="9" t="str">
        <f>TEXT(Source_data[[#This Row],[Listing_Date]],"mmm-yy")</f>
        <v>Feb-23</v>
      </c>
      <c r="N539" s="4">
        <f t="shared" si="8"/>
        <v>12990.60768614892</v>
      </c>
      <c r="O539" s="3" cm="1">
        <f t="array" ref="O539">_xlfn.IFS(AND(K539="Broker",J539="Resale"),F539*0.5,AND(K539="Owner",J539="Resale"),F539*0,AND(K539="Builder",J539="Resale"),F539*0.3,AND(J539="New",K539="Broker"),F539*0.1,AND(J539="New",K539="Owner"),F539*0,AND(J539="New",K539="Builder"),F539*0.5)</f>
        <v>8112634.5</v>
      </c>
    </row>
    <row r="540" spans="1:15" x14ac:dyDescent="0.3">
      <c r="A540" s="8" t="s">
        <v>589</v>
      </c>
      <c r="B540" s="4" t="s">
        <v>487</v>
      </c>
      <c r="C540" s="4" t="s">
        <v>498</v>
      </c>
      <c r="D540" s="4">
        <v>3</v>
      </c>
      <c r="E540" s="4">
        <v>1971</v>
      </c>
      <c r="F540" s="4">
        <v>14805690</v>
      </c>
      <c r="G540" s="4">
        <v>3</v>
      </c>
      <c r="H540" s="4">
        <v>4</v>
      </c>
      <c r="I540" s="4" t="s">
        <v>8</v>
      </c>
      <c r="J540" s="4" t="s">
        <v>19</v>
      </c>
      <c r="K540" s="4" t="s">
        <v>20</v>
      </c>
      <c r="L540" s="9">
        <v>45272</v>
      </c>
      <c r="M540" s="9" t="str">
        <f>TEXT(Source_data[[#This Row],[Listing_Date]],"mmm-yy")</f>
        <v>Dec-23</v>
      </c>
      <c r="N540" s="4">
        <f t="shared" si="8"/>
        <v>7511.7656012176558</v>
      </c>
      <c r="O540" s="3" cm="1">
        <f t="array" ref="O540">_xlfn.IFS(AND(K540="Broker",J540="Resale"),F540*0.5,AND(K540="Owner",J540="Resale"),F540*0,AND(K540="Builder",J540="Resale"),F540*0.3,AND(J540="New",K540="Broker"),F540*0.1,AND(J540="New",K540="Owner"),F540*0,AND(J540="New",K540="Builder"),F540*0.5)</f>
        <v>1480569</v>
      </c>
    </row>
    <row r="541" spans="1:15" x14ac:dyDescent="0.3">
      <c r="A541" s="8" t="s">
        <v>590</v>
      </c>
      <c r="B541" s="4" t="s">
        <v>487</v>
      </c>
      <c r="C541" s="4" t="s">
        <v>498</v>
      </c>
      <c r="D541" s="4">
        <v>4</v>
      </c>
      <c r="E541" s="4">
        <v>2693</v>
      </c>
      <c r="F541" s="4">
        <v>36688233</v>
      </c>
      <c r="G541" s="4">
        <v>2</v>
      </c>
      <c r="H541" s="4">
        <v>0</v>
      </c>
      <c r="I541" s="4" t="s">
        <v>27</v>
      </c>
      <c r="J541" s="4" t="s">
        <v>23</v>
      </c>
      <c r="K541" s="4" t="s">
        <v>20</v>
      </c>
      <c r="L541" s="9">
        <v>44995</v>
      </c>
      <c r="M541" s="9" t="str">
        <f>TEXT(Source_data[[#This Row],[Listing_Date]],"mmm-yy")</f>
        <v>Mar-23</v>
      </c>
      <c r="N541" s="4">
        <f t="shared" si="8"/>
        <v>13623.554771630152</v>
      </c>
      <c r="O541" s="3" cm="1">
        <f t="array" ref="O541">_xlfn.IFS(AND(K541="Broker",J541="Resale"),F541*0.5,AND(K541="Owner",J541="Resale"),F541*0,AND(K541="Builder",J541="Resale"),F541*0.3,AND(J541="New",K541="Broker"),F541*0.1,AND(J541="New",K541="Owner"),F541*0,AND(J541="New",K541="Builder"),F541*0.5)</f>
        <v>18344116.5</v>
      </c>
    </row>
    <row r="542" spans="1:15" x14ac:dyDescent="0.3">
      <c r="A542" s="8" t="s">
        <v>591</v>
      </c>
      <c r="B542" s="4" t="s">
        <v>487</v>
      </c>
      <c r="C542" s="4" t="s">
        <v>492</v>
      </c>
      <c r="D542" s="4">
        <v>2</v>
      </c>
      <c r="E542" s="4">
        <v>1204</v>
      </c>
      <c r="F542" s="4">
        <v>12066956</v>
      </c>
      <c r="G542" s="4">
        <v>2</v>
      </c>
      <c r="H542" s="4">
        <v>2</v>
      </c>
      <c r="I542" s="4" t="s">
        <v>8</v>
      </c>
      <c r="J542" s="4" t="s">
        <v>19</v>
      </c>
      <c r="K542" s="4" t="s">
        <v>24</v>
      </c>
      <c r="L542" s="9">
        <v>45688</v>
      </c>
      <c r="M542" s="9" t="str">
        <f>TEXT(Source_data[[#This Row],[Listing_Date]],"mmm-yy")</f>
        <v>Jan-25</v>
      </c>
      <c r="N542" s="4">
        <f t="shared" si="8"/>
        <v>10022.388704318937</v>
      </c>
      <c r="O542" s="3" cm="1">
        <f t="array" ref="O542">_xlfn.IFS(AND(K542="Broker",J542="Resale"),F542*0.5,AND(K542="Owner",J542="Resale"),F542*0,AND(K542="Builder",J542="Resale"),F542*0.3,AND(J542="New",K542="Broker"),F542*0.1,AND(J542="New",K542="Owner"),F542*0,AND(J542="New",K542="Builder"),F542*0.5)</f>
        <v>6033478</v>
      </c>
    </row>
    <row r="543" spans="1:15" x14ac:dyDescent="0.3">
      <c r="A543" s="8" t="s">
        <v>592</v>
      </c>
      <c r="B543" s="4" t="s">
        <v>487</v>
      </c>
      <c r="C543" s="4" t="s">
        <v>492</v>
      </c>
      <c r="D543" s="4">
        <v>3</v>
      </c>
      <c r="E543" s="4">
        <v>1403</v>
      </c>
      <c r="F543" s="4">
        <v>15586586</v>
      </c>
      <c r="G543" s="4">
        <v>3</v>
      </c>
      <c r="H543" s="4">
        <v>3</v>
      </c>
      <c r="I543" s="4" t="s">
        <v>18</v>
      </c>
      <c r="J543" s="4" t="s">
        <v>23</v>
      </c>
      <c r="K543" s="4" t="s">
        <v>20</v>
      </c>
      <c r="L543" s="9">
        <v>45551</v>
      </c>
      <c r="M543" s="9" t="str">
        <f>TEXT(Source_data[[#This Row],[Listing_Date]],"mmm-yy")</f>
        <v>Sep-24</v>
      </c>
      <c r="N543" s="4">
        <f t="shared" si="8"/>
        <v>11109.469707769067</v>
      </c>
      <c r="O543" s="3" cm="1">
        <f t="array" ref="O543">_xlfn.IFS(AND(K543="Broker",J543="Resale"),F543*0.5,AND(K543="Owner",J543="Resale"),F543*0,AND(K543="Builder",J543="Resale"),F543*0.3,AND(J543="New",K543="Broker"),F543*0.1,AND(J543="New",K543="Owner"),F543*0,AND(J543="New",K543="Builder"),F543*0.5)</f>
        <v>7793293</v>
      </c>
    </row>
    <row r="544" spans="1:15" x14ac:dyDescent="0.3">
      <c r="A544" s="8" t="s">
        <v>593</v>
      </c>
      <c r="B544" s="4" t="s">
        <v>487</v>
      </c>
      <c r="C544" s="4" t="s">
        <v>501</v>
      </c>
      <c r="D544" s="4">
        <v>3</v>
      </c>
      <c r="E544" s="4">
        <v>1300</v>
      </c>
      <c r="F544" s="4">
        <v>16403939</v>
      </c>
      <c r="G544" s="4">
        <v>3</v>
      </c>
      <c r="H544" s="4">
        <v>2</v>
      </c>
      <c r="I544" s="4" t="s">
        <v>27</v>
      </c>
      <c r="J544" s="4" t="s">
        <v>23</v>
      </c>
      <c r="K544" s="4" t="s">
        <v>20</v>
      </c>
      <c r="L544" s="9">
        <v>45478</v>
      </c>
      <c r="M544" s="9" t="str">
        <f>TEXT(Source_data[[#This Row],[Listing_Date]],"mmm-yy")</f>
        <v>Jul-24</v>
      </c>
      <c r="N544" s="4">
        <f t="shared" si="8"/>
        <v>12618.414615384616</v>
      </c>
      <c r="O544" s="3" cm="1">
        <f t="array" ref="O544">_xlfn.IFS(AND(K544="Broker",J544="Resale"),F544*0.5,AND(K544="Owner",J544="Resale"),F544*0,AND(K544="Builder",J544="Resale"),F544*0.3,AND(J544="New",K544="Broker"),F544*0.1,AND(J544="New",K544="Owner"),F544*0,AND(J544="New",K544="Builder"),F544*0.5)</f>
        <v>8201969.5</v>
      </c>
    </row>
    <row r="545" spans="1:15" x14ac:dyDescent="0.3">
      <c r="A545" s="8" t="s">
        <v>594</v>
      </c>
      <c r="B545" s="4" t="s">
        <v>487</v>
      </c>
      <c r="C545" s="4" t="s">
        <v>498</v>
      </c>
      <c r="D545" s="4">
        <v>2</v>
      </c>
      <c r="E545" s="4">
        <v>793</v>
      </c>
      <c r="F545" s="4">
        <v>9506282</v>
      </c>
      <c r="G545" s="4">
        <v>2</v>
      </c>
      <c r="H545" s="4">
        <v>3</v>
      </c>
      <c r="I545" s="4" t="s">
        <v>27</v>
      </c>
      <c r="J545" s="4" t="s">
        <v>23</v>
      </c>
      <c r="K545" s="4" t="s">
        <v>20</v>
      </c>
      <c r="L545" s="9">
        <v>45696</v>
      </c>
      <c r="M545" s="9" t="str">
        <f>TEXT(Source_data[[#This Row],[Listing_Date]],"mmm-yy")</f>
        <v>Feb-25</v>
      </c>
      <c r="N545" s="4">
        <f t="shared" si="8"/>
        <v>11987.74527112232</v>
      </c>
      <c r="O545" s="3" cm="1">
        <f t="array" ref="O545">_xlfn.IFS(AND(K545="Broker",J545="Resale"),F545*0.5,AND(K545="Owner",J545="Resale"),F545*0,AND(K545="Builder",J545="Resale"),F545*0.3,AND(J545="New",K545="Broker"),F545*0.1,AND(J545="New",K545="Owner"),F545*0,AND(J545="New",K545="Builder"),F545*0.5)</f>
        <v>4753141</v>
      </c>
    </row>
    <row r="546" spans="1:15" x14ac:dyDescent="0.3">
      <c r="A546" s="8" t="s">
        <v>595</v>
      </c>
      <c r="B546" s="4" t="s">
        <v>487</v>
      </c>
      <c r="C546" s="4" t="s">
        <v>488</v>
      </c>
      <c r="D546" s="4">
        <v>4</v>
      </c>
      <c r="E546" s="4">
        <v>2252</v>
      </c>
      <c r="F546" s="4">
        <v>16768199</v>
      </c>
      <c r="G546" s="4">
        <v>3</v>
      </c>
      <c r="H546" s="4">
        <v>3</v>
      </c>
      <c r="I546" s="4" t="s">
        <v>27</v>
      </c>
      <c r="J546" s="4" t="s">
        <v>23</v>
      </c>
      <c r="K546" s="4" t="s">
        <v>36</v>
      </c>
      <c r="L546" s="9">
        <v>45533</v>
      </c>
      <c r="M546" s="9" t="str">
        <f>TEXT(Source_data[[#This Row],[Listing_Date]],"mmm-yy")</f>
        <v>Aug-24</v>
      </c>
      <c r="N546" s="4">
        <f t="shared" si="8"/>
        <v>7445.9142984014206</v>
      </c>
      <c r="O546" s="3" cm="1">
        <f t="array" ref="O546">_xlfn.IFS(AND(K546="Broker",J546="Resale"),F546*0.5,AND(K546="Owner",J546="Resale"),F546*0,AND(K546="Builder",J546="Resale"),F546*0.3,AND(J546="New",K546="Broker"),F546*0.1,AND(J546="New",K546="Owner"),F546*0,AND(J546="New",K546="Builder"),F546*0.5)</f>
        <v>0</v>
      </c>
    </row>
    <row r="547" spans="1:15" x14ac:dyDescent="0.3">
      <c r="A547" s="8" t="s">
        <v>596</v>
      </c>
      <c r="B547" s="4" t="s">
        <v>487</v>
      </c>
      <c r="C547" s="4" t="s">
        <v>495</v>
      </c>
      <c r="D547" s="4">
        <v>5</v>
      </c>
      <c r="E547" s="4">
        <v>2547</v>
      </c>
      <c r="F547" s="4">
        <v>31069383</v>
      </c>
      <c r="G547" s="4">
        <v>4</v>
      </c>
      <c r="H547" s="4">
        <v>2</v>
      </c>
      <c r="I547" s="4" t="s">
        <v>27</v>
      </c>
      <c r="J547" s="4" t="s">
        <v>23</v>
      </c>
      <c r="K547" s="4" t="s">
        <v>20</v>
      </c>
      <c r="L547" s="9">
        <v>45449</v>
      </c>
      <c r="M547" s="9" t="str">
        <f>TEXT(Source_data[[#This Row],[Listing_Date]],"mmm-yy")</f>
        <v>Jun-24</v>
      </c>
      <c r="N547" s="4">
        <f t="shared" si="8"/>
        <v>12198.422850412249</v>
      </c>
      <c r="O547" s="3" cm="1">
        <f t="array" ref="O547">_xlfn.IFS(AND(K547="Broker",J547="Resale"),F547*0.5,AND(K547="Owner",J547="Resale"),F547*0,AND(K547="Builder",J547="Resale"),F547*0.3,AND(J547="New",K547="Broker"),F547*0.1,AND(J547="New",K547="Owner"),F547*0,AND(J547="New",K547="Builder"),F547*0.5)</f>
        <v>15534691.5</v>
      </c>
    </row>
    <row r="548" spans="1:15" x14ac:dyDescent="0.3">
      <c r="A548" s="8" t="s">
        <v>597</v>
      </c>
      <c r="B548" s="4" t="s">
        <v>487</v>
      </c>
      <c r="C548" s="4" t="s">
        <v>490</v>
      </c>
      <c r="D548" s="4">
        <v>3</v>
      </c>
      <c r="E548" s="4">
        <v>1474</v>
      </c>
      <c r="F548" s="4">
        <v>16492195</v>
      </c>
      <c r="G548" s="4">
        <v>3</v>
      </c>
      <c r="H548" s="4">
        <v>3</v>
      </c>
      <c r="I548" s="4" t="s">
        <v>27</v>
      </c>
      <c r="J548" s="4" t="s">
        <v>19</v>
      </c>
      <c r="K548" s="4" t="s">
        <v>36</v>
      </c>
      <c r="L548" s="9">
        <v>45831</v>
      </c>
      <c r="M548" s="9" t="str">
        <f>TEXT(Source_data[[#This Row],[Listing_Date]],"mmm-yy")</f>
        <v>Jun-25</v>
      </c>
      <c r="N548" s="4">
        <f t="shared" si="8"/>
        <v>11188.73473541384</v>
      </c>
      <c r="O548" s="3" cm="1">
        <f t="array" ref="O548">_xlfn.IFS(AND(K548="Broker",J548="Resale"),F548*0.5,AND(K548="Owner",J548="Resale"),F548*0,AND(K548="Builder",J548="Resale"),F548*0.3,AND(J548="New",K548="Broker"),F548*0.1,AND(J548="New",K548="Owner"),F548*0,AND(J548="New",K548="Builder"),F548*0.5)</f>
        <v>0</v>
      </c>
    </row>
    <row r="549" spans="1:15" x14ac:dyDescent="0.3">
      <c r="A549" s="8" t="s">
        <v>598</v>
      </c>
      <c r="B549" s="4" t="s">
        <v>487</v>
      </c>
      <c r="C549" s="4" t="s">
        <v>495</v>
      </c>
      <c r="D549" s="4">
        <v>3</v>
      </c>
      <c r="E549" s="4">
        <v>1546</v>
      </c>
      <c r="F549" s="4">
        <v>22067289</v>
      </c>
      <c r="G549" s="4">
        <v>3</v>
      </c>
      <c r="H549" s="4">
        <v>0</v>
      </c>
      <c r="I549" s="4" t="s">
        <v>27</v>
      </c>
      <c r="J549" s="4" t="s">
        <v>23</v>
      </c>
      <c r="K549" s="4" t="s">
        <v>36</v>
      </c>
      <c r="L549" s="9">
        <v>45815</v>
      </c>
      <c r="M549" s="9" t="str">
        <f>TEXT(Source_data[[#This Row],[Listing_Date]],"mmm-yy")</f>
        <v>Jun-25</v>
      </c>
      <c r="N549" s="4">
        <f t="shared" si="8"/>
        <v>14273.796248382923</v>
      </c>
      <c r="O549" s="3" cm="1">
        <f t="array" ref="O549">_xlfn.IFS(AND(K549="Broker",J549="Resale"),F549*0.5,AND(K549="Owner",J549="Resale"),F549*0,AND(K549="Builder",J549="Resale"),F549*0.3,AND(J549="New",K549="Broker"),F549*0.1,AND(J549="New",K549="Owner"),F549*0,AND(J549="New",K549="Builder"),F549*0.5)</f>
        <v>0</v>
      </c>
    </row>
    <row r="550" spans="1:15" x14ac:dyDescent="0.3">
      <c r="A550" s="8" t="s">
        <v>599</v>
      </c>
      <c r="B550" s="4" t="s">
        <v>487</v>
      </c>
      <c r="C550" s="4" t="s">
        <v>492</v>
      </c>
      <c r="D550" s="4">
        <v>2</v>
      </c>
      <c r="E550" s="4">
        <v>1532</v>
      </c>
      <c r="F550" s="4">
        <v>22969537</v>
      </c>
      <c r="G550" s="4">
        <v>1</v>
      </c>
      <c r="H550" s="4">
        <v>3</v>
      </c>
      <c r="I550" s="4" t="s">
        <v>8</v>
      </c>
      <c r="J550" s="4" t="s">
        <v>19</v>
      </c>
      <c r="K550" s="4" t="s">
        <v>24</v>
      </c>
      <c r="L550" s="9">
        <v>45056</v>
      </c>
      <c r="M550" s="9" t="str">
        <f>TEXT(Source_data[[#This Row],[Listing_Date]],"mmm-yy")</f>
        <v>May-23</v>
      </c>
      <c r="N550" s="4">
        <f t="shared" si="8"/>
        <v>14993.170365535248</v>
      </c>
      <c r="O550" s="3" cm="1">
        <f t="array" ref="O550">_xlfn.IFS(AND(K550="Broker",J550="Resale"),F550*0.5,AND(K550="Owner",J550="Resale"),F550*0,AND(K550="Builder",J550="Resale"),F550*0.3,AND(J550="New",K550="Broker"),F550*0.1,AND(J550="New",K550="Owner"),F550*0,AND(J550="New",K550="Builder"),F550*0.5)</f>
        <v>11484768.5</v>
      </c>
    </row>
    <row r="551" spans="1:15" x14ac:dyDescent="0.3">
      <c r="A551" s="8" t="s">
        <v>600</v>
      </c>
      <c r="B551" s="4" t="s">
        <v>487</v>
      </c>
      <c r="C551" s="4" t="s">
        <v>501</v>
      </c>
      <c r="D551" s="4">
        <v>2</v>
      </c>
      <c r="E551" s="4">
        <v>754</v>
      </c>
      <c r="F551" s="4">
        <v>10239225</v>
      </c>
      <c r="G551" s="4">
        <v>2</v>
      </c>
      <c r="H551" s="4">
        <v>0</v>
      </c>
      <c r="I551" s="4" t="s">
        <v>8</v>
      </c>
      <c r="J551" s="4" t="s">
        <v>23</v>
      </c>
      <c r="K551" s="4" t="s">
        <v>20</v>
      </c>
      <c r="L551" s="9">
        <v>45484</v>
      </c>
      <c r="M551" s="9" t="str">
        <f>TEXT(Source_data[[#This Row],[Listing_Date]],"mmm-yy")</f>
        <v>Jul-24</v>
      </c>
      <c r="N551" s="4">
        <f t="shared" si="8"/>
        <v>13579.874005305041</v>
      </c>
      <c r="O551" s="3" cm="1">
        <f t="array" ref="O551">_xlfn.IFS(AND(K551="Broker",J551="Resale"),F551*0.5,AND(K551="Owner",J551="Resale"),F551*0,AND(K551="Builder",J551="Resale"),F551*0.3,AND(J551="New",K551="Broker"),F551*0.1,AND(J551="New",K551="Owner"),F551*0,AND(J551="New",K551="Builder"),F551*0.5)</f>
        <v>5119612.5</v>
      </c>
    </row>
    <row r="552" spans="1:15" x14ac:dyDescent="0.3">
      <c r="A552" s="8" t="s">
        <v>601</v>
      </c>
      <c r="B552" s="4" t="s">
        <v>487</v>
      </c>
      <c r="C552" s="4" t="s">
        <v>501</v>
      </c>
      <c r="D552" s="4">
        <v>3</v>
      </c>
      <c r="E552" s="4">
        <v>804</v>
      </c>
      <c r="F552" s="4">
        <v>10426365</v>
      </c>
      <c r="G552" s="4">
        <v>3</v>
      </c>
      <c r="H552" s="4">
        <v>3</v>
      </c>
      <c r="I552" s="4" t="s">
        <v>8</v>
      </c>
      <c r="J552" s="4" t="s">
        <v>19</v>
      </c>
      <c r="K552" s="4" t="s">
        <v>20</v>
      </c>
      <c r="L552" s="9">
        <v>45012</v>
      </c>
      <c r="M552" s="9" t="str">
        <f>TEXT(Source_data[[#This Row],[Listing_Date]],"mmm-yy")</f>
        <v>Mar-23</v>
      </c>
      <c r="N552" s="4">
        <f t="shared" si="8"/>
        <v>12968.115671641792</v>
      </c>
      <c r="O552" s="3" cm="1">
        <f t="array" ref="O552">_xlfn.IFS(AND(K552="Broker",J552="Resale"),F552*0.5,AND(K552="Owner",J552="Resale"),F552*0,AND(K552="Builder",J552="Resale"),F552*0.3,AND(J552="New",K552="Broker"),F552*0.1,AND(J552="New",K552="Owner"),F552*0,AND(J552="New",K552="Builder"),F552*0.5)</f>
        <v>1042636.5</v>
      </c>
    </row>
    <row r="553" spans="1:15" x14ac:dyDescent="0.3">
      <c r="A553" s="8" t="s">
        <v>602</v>
      </c>
      <c r="B553" s="4" t="s">
        <v>487</v>
      </c>
      <c r="C553" s="4" t="s">
        <v>490</v>
      </c>
      <c r="D553" s="4">
        <v>2</v>
      </c>
      <c r="E553" s="4">
        <v>1204</v>
      </c>
      <c r="F553" s="4">
        <v>12066956</v>
      </c>
      <c r="G553" s="4">
        <v>2</v>
      </c>
      <c r="H553" s="4">
        <v>2</v>
      </c>
      <c r="I553" s="4" t="s">
        <v>8</v>
      </c>
      <c r="J553" s="4" t="s">
        <v>19</v>
      </c>
      <c r="K553" s="4" t="s">
        <v>24</v>
      </c>
      <c r="L553" s="9">
        <v>45290</v>
      </c>
      <c r="M553" s="9" t="str">
        <f>TEXT(Source_data[[#This Row],[Listing_Date]],"mmm-yy")</f>
        <v>Dec-23</v>
      </c>
      <c r="N553" s="4">
        <f t="shared" si="8"/>
        <v>10022.388704318937</v>
      </c>
      <c r="O553" s="3" cm="1">
        <f t="array" ref="O553">_xlfn.IFS(AND(K553="Broker",J553="Resale"),F553*0.5,AND(K553="Owner",J553="Resale"),F553*0,AND(K553="Builder",J553="Resale"),F553*0.3,AND(J553="New",K553="Broker"),F553*0.1,AND(J553="New",K553="Owner"),F553*0,AND(J553="New",K553="Builder"),F553*0.5)</f>
        <v>6033478</v>
      </c>
    </row>
    <row r="554" spans="1:15" x14ac:dyDescent="0.3">
      <c r="A554" s="8" t="s">
        <v>603</v>
      </c>
      <c r="B554" s="4" t="s">
        <v>487</v>
      </c>
      <c r="C554" s="4" t="s">
        <v>492</v>
      </c>
      <c r="D554" s="4">
        <v>3</v>
      </c>
      <c r="E554" s="4">
        <v>1093</v>
      </c>
      <c r="F554" s="4">
        <v>18285308</v>
      </c>
      <c r="G554" s="4">
        <v>4</v>
      </c>
      <c r="H554" s="4">
        <v>2</v>
      </c>
      <c r="I554" s="4" t="s">
        <v>27</v>
      </c>
      <c r="J554" s="4" t="s">
        <v>23</v>
      </c>
      <c r="K554" s="4" t="s">
        <v>24</v>
      </c>
      <c r="L554" s="9">
        <v>45090</v>
      </c>
      <c r="M554" s="9" t="str">
        <f>TEXT(Source_data[[#This Row],[Listing_Date]],"mmm-yy")</f>
        <v>Jun-23</v>
      </c>
      <c r="N554" s="4">
        <f t="shared" si="8"/>
        <v>16729.467520585546</v>
      </c>
      <c r="O554" s="3" cm="1">
        <f t="array" ref="O554">_xlfn.IFS(AND(K554="Broker",J554="Resale"),F554*0.5,AND(K554="Owner",J554="Resale"),F554*0,AND(K554="Builder",J554="Resale"),F554*0.3,AND(J554="New",K554="Broker"),F554*0.1,AND(J554="New",K554="Owner"),F554*0,AND(J554="New",K554="Builder"),F554*0.5)</f>
        <v>5485592.3999999994</v>
      </c>
    </row>
    <row r="555" spans="1:15" x14ac:dyDescent="0.3">
      <c r="A555" s="8" t="s">
        <v>604</v>
      </c>
      <c r="B555" s="4" t="s">
        <v>487</v>
      </c>
      <c r="C555" s="4" t="s">
        <v>498</v>
      </c>
      <c r="D555" s="4">
        <v>3</v>
      </c>
      <c r="E555" s="4">
        <v>1423</v>
      </c>
      <c r="F555" s="4">
        <v>19760182</v>
      </c>
      <c r="G555" s="4">
        <v>3</v>
      </c>
      <c r="H555" s="4">
        <v>2</v>
      </c>
      <c r="I555" s="4" t="s">
        <v>8</v>
      </c>
      <c r="J555" s="4" t="s">
        <v>19</v>
      </c>
      <c r="K555" s="4" t="s">
        <v>20</v>
      </c>
      <c r="L555" s="9">
        <v>45623</v>
      </c>
      <c r="M555" s="9" t="str">
        <f>TEXT(Source_data[[#This Row],[Listing_Date]],"mmm-yy")</f>
        <v>Nov-24</v>
      </c>
      <c r="N555" s="4">
        <f t="shared" si="8"/>
        <v>13886.283907238228</v>
      </c>
      <c r="O555" s="3" cm="1">
        <f t="array" ref="O555">_xlfn.IFS(AND(K555="Broker",J555="Resale"),F555*0.5,AND(K555="Owner",J555="Resale"),F555*0,AND(K555="Builder",J555="Resale"),F555*0.3,AND(J555="New",K555="Broker"),F555*0.1,AND(J555="New",K555="Owner"),F555*0,AND(J555="New",K555="Builder"),F555*0.5)</f>
        <v>1976018.2000000002</v>
      </c>
    </row>
    <row r="556" spans="1:15" x14ac:dyDescent="0.3">
      <c r="A556" s="8" t="s">
        <v>605</v>
      </c>
      <c r="B556" s="4" t="s">
        <v>487</v>
      </c>
      <c r="C556" s="4" t="s">
        <v>488</v>
      </c>
      <c r="D556" s="4">
        <v>2</v>
      </c>
      <c r="E556" s="4">
        <v>946</v>
      </c>
      <c r="F556" s="4">
        <v>11261780</v>
      </c>
      <c r="G556" s="4">
        <v>1</v>
      </c>
      <c r="H556" s="4">
        <v>1</v>
      </c>
      <c r="I556" s="4" t="s">
        <v>27</v>
      </c>
      <c r="J556" s="4" t="s">
        <v>23</v>
      </c>
      <c r="K556" s="4" t="s">
        <v>24</v>
      </c>
      <c r="L556" s="9">
        <v>44996</v>
      </c>
      <c r="M556" s="9" t="str">
        <f>TEXT(Source_data[[#This Row],[Listing_Date]],"mmm-yy")</f>
        <v>Mar-23</v>
      </c>
      <c r="N556" s="4">
        <f t="shared" si="8"/>
        <v>11904.630021141649</v>
      </c>
      <c r="O556" s="3" cm="1">
        <f t="array" ref="O556">_xlfn.IFS(AND(K556="Broker",J556="Resale"),F556*0.5,AND(K556="Owner",J556="Resale"),F556*0,AND(K556="Builder",J556="Resale"),F556*0.3,AND(J556="New",K556="Broker"),F556*0.1,AND(J556="New",K556="Owner"),F556*0,AND(J556="New",K556="Builder"),F556*0.5)</f>
        <v>3378534</v>
      </c>
    </row>
    <row r="557" spans="1:15" x14ac:dyDescent="0.3">
      <c r="A557" s="8" t="s">
        <v>606</v>
      </c>
      <c r="B557" s="4" t="s">
        <v>487</v>
      </c>
      <c r="C557" s="4" t="s">
        <v>501</v>
      </c>
      <c r="D557" s="4">
        <v>3</v>
      </c>
      <c r="E557" s="4">
        <v>1404</v>
      </c>
      <c r="F557" s="4">
        <v>24667270</v>
      </c>
      <c r="G557" s="4">
        <v>3</v>
      </c>
      <c r="H557" s="4">
        <v>2</v>
      </c>
      <c r="I557" s="4" t="s">
        <v>8</v>
      </c>
      <c r="J557" s="4" t="s">
        <v>19</v>
      </c>
      <c r="K557" s="4" t="s">
        <v>36</v>
      </c>
      <c r="L557" s="9">
        <v>45384</v>
      </c>
      <c r="M557" s="9" t="str">
        <f>TEXT(Source_data[[#This Row],[Listing_Date]],"mmm-yy")</f>
        <v>Apr-24</v>
      </c>
      <c r="N557" s="4">
        <f t="shared" si="8"/>
        <v>17569.280626780626</v>
      </c>
      <c r="O557" s="3" cm="1">
        <f t="array" ref="O557">_xlfn.IFS(AND(K557="Broker",J557="Resale"),F557*0.5,AND(K557="Owner",J557="Resale"),F557*0,AND(K557="Builder",J557="Resale"),F557*0.3,AND(J557="New",K557="Broker"),F557*0.1,AND(J557="New",K557="Owner"),F557*0,AND(J557="New",K557="Builder"),F557*0.5)</f>
        <v>0</v>
      </c>
    </row>
    <row r="558" spans="1:15" x14ac:dyDescent="0.3">
      <c r="A558" s="8" t="s">
        <v>607</v>
      </c>
      <c r="B558" s="4" t="s">
        <v>487</v>
      </c>
      <c r="C558" s="4" t="s">
        <v>495</v>
      </c>
      <c r="D558" s="4">
        <v>2</v>
      </c>
      <c r="E558" s="4">
        <v>931</v>
      </c>
      <c r="F558" s="4">
        <v>12979936</v>
      </c>
      <c r="G558" s="4">
        <v>1</v>
      </c>
      <c r="H558" s="4">
        <v>2</v>
      </c>
      <c r="I558" s="4" t="s">
        <v>18</v>
      </c>
      <c r="J558" s="4" t="s">
        <v>19</v>
      </c>
      <c r="K558" s="4" t="s">
        <v>24</v>
      </c>
      <c r="L558" s="9">
        <v>45432</v>
      </c>
      <c r="M558" s="9" t="str">
        <f>TEXT(Source_data[[#This Row],[Listing_Date]],"mmm-yy")</f>
        <v>May-24</v>
      </c>
      <c r="N558" s="4">
        <f t="shared" si="8"/>
        <v>13941.929108485499</v>
      </c>
      <c r="O558" s="3" cm="1">
        <f t="array" ref="O558">_xlfn.IFS(AND(K558="Broker",J558="Resale"),F558*0.5,AND(K558="Owner",J558="Resale"),F558*0,AND(K558="Builder",J558="Resale"),F558*0.3,AND(J558="New",K558="Broker"),F558*0.1,AND(J558="New",K558="Owner"),F558*0,AND(J558="New",K558="Builder"),F558*0.5)</f>
        <v>6489968</v>
      </c>
    </row>
    <row r="559" spans="1:15" x14ac:dyDescent="0.3">
      <c r="A559" s="8" t="s">
        <v>608</v>
      </c>
      <c r="B559" s="4" t="s">
        <v>487</v>
      </c>
      <c r="C559" s="4" t="s">
        <v>495</v>
      </c>
      <c r="D559" s="4">
        <v>2</v>
      </c>
      <c r="E559" s="4">
        <v>1297</v>
      </c>
      <c r="F559" s="4">
        <v>16134792</v>
      </c>
      <c r="G559" s="4">
        <v>2</v>
      </c>
      <c r="H559" s="4">
        <v>1</v>
      </c>
      <c r="I559" s="4" t="s">
        <v>27</v>
      </c>
      <c r="J559" s="4" t="s">
        <v>19</v>
      </c>
      <c r="K559" s="4" t="s">
        <v>20</v>
      </c>
      <c r="L559" s="9">
        <v>45347</v>
      </c>
      <c r="M559" s="9" t="str">
        <f>TEXT(Source_data[[#This Row],[Listing_Date]],"mmm-yy")</f>
        <v>Feb-24</v>
      </c>
      <c r="N559" s="4">
        <f t="shared" si="8"/>
        <v>12440.086353122591</v>
      </c>
      <c r="O559" s="3" cm="1">
        <f t="array" ref="O559">_xlfn.IFS(AND(K559="Broker",J559="Resale"),F559*0.5,AND(K559="Owner",J559="Resale"),F559*0,AND(K559="Builder",J559="Resale"),F559*0.3,AND(J559="New",K559="Broker"),F559*0.1,AND(J559="New",K559="Owner"),F559*0,AND(J559="New",K559="Builder"),F559*0.5)</f>
        <v>1613479.2000000002</v>
      </c>
    </row>
    <row r="560" spans="1:15" x14ac:dyDescent="0.3">
      <c r="A560" s="8" t="s">
        <v>609</v>
      </c>
      <c r="B560" s="4" t="s">
        <v>487</v>
      </c>
      <c r="C560" s="4" t="s">
        <v>488</v>
      </c>
      <c r="D560" s="4">
        <v>2</v>
      </c>
      <c r="E560" s="4">
        <v>1123</v>
      </c>
      <c r="F560" s="4">
        <v>14050939</v>
      </c>
      <c r="G560" s="4">
        <v>1</v>
      </c>
      <c r="H560" s="4">
        <v>0</v>
      </c>
      <c r="I560" s="4" t="s">
        <v>27</v>
      </c>
      <c r="J560" s="4" t="s">
        <v>19</v>
      </c>
      <c r="K560" s="4" t="s">
        <v>20</v>
      </c>
      <c r="L560" s="9">
        <v>45874</v>
      </c>
      <c r="M560" s="9" t="str">
        <f>TEXT(Source_data[[#This Row],[Listing_Date]],"mmm-yy")</f>
        <v>Aug-25</v>
      </c>
      <c r="N560" s="4">
        <f t="shared" si="8"/>
        <v>12511.967052537844</v>
      </c>
      <c r="O560" s="3" cm="1">
        <f t="array" ref="O560">_xlfn.IFS(AND(K560="Broker",J560="Resale"),F560*0.5,AND(K560="Owner",J560="Resale"),F560*0,AND(K560="Builder",J560="Resale"),F560*0.3,AND(J560="New",K560="Broker"),F560*0.1,AND(J560="New",K560="Owner"),F560*0,AND(J560="New",K560="Builder"),F560*0.5)</f>
        <v>1405093.9000000001</v>
      </c>
    </row>
    <row r="561" spans="1:15" x14ac:dyDescent="0.3">
      <c r="A561" s="8" t="s">
        <v>610</v>
      </c>
      <c r="B561" s="4" t="s">
        <v>487</v>
      </c>
      <c r="C561" s="4" t="s">
        <v>501</v>
      </c>
      <c r="D561" s="4">
        <v>3</v>
      </c>
      <c r="E561" s="4">
        <v>1207</v>
      </c>
      <c r="F561" s="4">
        <v>10974137</v>
      </c>
      <c r="G561" s="4">
        <v>3</v>
      </c>
      <c r="H561" s="4">
        <v>1</v>
      </c>
      <c r="I561" s="4" t="s">
        <v>8</v>
      </c>
      <c r="J561" s="4" t="s">
        <v>23</v>
      </c>
      <c r="K561" s="4" t="s">
        <v>24</v>
      </c>
      <c r="L561" s="9">
        <v>45169</v>
      </c>
      <c r="M561" s="9" t="str">
        <f>TEXT(Source_data[[#This Row],[Listing_Date]],"mmm-yy")</f>
        <v>Aug-23</v>
      </c>
      <c r="N561" s="4">
        <f t="shared" si="8"/>
        <v>9092.0770505385244</v>
      </c>
      <c r="O561" s="3" cm="1">
        <f t="array" ref="O561">_xlfn.IFS(AND(K561="Broker",J561="Resale"),F561*0.5,AND(K561="Owner",J561="Resale"),F561*0,AND(K561="Builder",J561="Resale"),F561*0.3,AND(J561="New",K561="Broker"),F561*0.1,AND(J561="New",K561="Owner"),F561*0,AND(J561="New",K561="Builder"),F561*0.5)</f>
        <v>3292241.1</v>
      </c>
    </row>
    <row r="562" spans="1:15" x14ac:dyDescent="0.3">
      <c r="A562" s="8" t="s">
        <v>611</v>
      </c>
      <c r="B562" s="4" t="s">
        <v>487</v>
      </c>
      <c r="C562" s="4" t="s">
        <v>492</v>
      </c>
      <c r="D562" s="4">
        <v>1</v>
      </c>
      <c r="E562" s="4">
        <v>669</v>
      </c>
      <c r="F562" s="4">
        <v>7227310</v>
      </c>
      <c r="G562" s="4">
        <v>1</v>
      </c>
      <c r="H562" s="4">
        <v>1</v>
      </c>
      <c r="I562" s="4" t="s">
        <v>18</v>
      </c>
      <c r="J562" s="4" t="s">
        <v>23</v>
      </c>
      <c r="K562" s="4" t="s">
        <v>20</v>
      </c>
      <c r="L562" s="9">
        <v>45755</v>
      </c>
      <c r="M562" s="9" t="str">
        <f>TEXT(Source_data[[#This Row],[Listing_Date]],"mmm-yy")</f>
        <v>Apr-25</v>
      </c>
      <c r="N562" s="4">
        <f t="shared" si="8"/>
        <v>10803.153961136024</v>
      </c>
      <c r="O562" s="3" cm="1">
        <f t="array" ref="O562">_xlfn.IFS(AND(K562="Broker",J562="Resale"),F562*0.5,AND(K562="Owner",J562="Resale"),F562*0,AND(K562="Builder",J562="Resale"),F562*0.3,AND(J562="New",K562="Broker"),F562*0.1,AND(J562="New",K562="Owner"),F562*0,AND(J562="New",K562="Builder"),F562*0.5)</f>
        <v>3613655</v>
      </c>
    </row>
    <row r="563" spans="1:15" x14ac:dyDescent="0.3">
      <c r="A563" s="8" t="s">
        <v>612</v>
      </c>
      <c r="B563" s="4" t="s">
        <v>487</v>
      </c>
      <c r="C563" s="4" t="s">
        <v>492</v>
      </c>
      <c r="D563" s="4">
        <v>3</v>
      </c>
      <c r="E563" s="4">
        <v>1723</v>
      </c>
      <c r="F563" s="4">
        <v>20757074</v>
      </c>
      <c r="G563" s="4">
        <v>3</v>
      </c>
      <c r="H563" s="4">
        <v>1</v>
      </c>
      <c r="I563" s="4" t="s">
        <v>18</v>
      </c>
      <c r="J563" s="4" t="s">
        <v>19</v>
      </c>
      <c r="K563" s="4" t="s">
        <v>24</v>
      </c>
      <c r="L563" s="9">
        <v>45465</v>
      </c>
      <c r="M563" s="9" t="str">
        <f>TEXT(Source_data[[#This Row],[Listing_Date]],"mmm-yy")</f>
        <v>Jun-24</v>
      </c>
      <c r="N563" s="4">
        <f t="shared" si="8"/>
        <v>12047.053975623912</v>
      </c>
      <c r="O563" s="3" cm="1">
        <f t="array" ref="O563">_xlfn.IFS(AND(K563="Broker",J563="Resale"),F563*0.5,AND(K563="Owner",J563="Resale"),F563*0,AND(K563="Builder",J563="Resale"),F563*0.3,AND(J563="New",K563="Broker"),F563*0.1,AND(J563="New",K563="Owner"),F563*0,AND(J563="New",K563="Builder"),F563*0.5)</f>
        <v>10378537</v>
      </c>
    </row>
    <row r="564" spans="1:15" x14ac:dyDescent="0.3">
      <c r="A564" s="8" t="s">
        <v>613</v>
      </c>
      <c r="B564" s="4" t="s">
        <v>487</v>
      </c>
      <c r="C564" s="4" t="s">
        <v>501</v>
      </c>
      <c r="D564" s="4">
        <v>3</v>
      </c>
      <c r="E564" s="4">
        <v>1437</v>
      </c>
      <c r="F564" s="4">
        <v>16837473</v>
      </c>
      <c r="G564" s="4">
        <v>3</v>
      </c>
      <c r="H564" s="4">
        <v>3</v>
      </c>
      <c r="I564" s="4" t="s">
        <v>8</v>
      </c>
      <c r="J564" s="4" t="s">
        <v>23</v>
      </c>
      <c r="K564" s="4" t="s">
        <v>24</v>
      </c>
      <c r="L564" s="9">
        <v>45110</v>
      </c>
      <c r="M564" s="9" t="str">
        <f>TEXT(Source_data[[#This Row],[Listing_Date]],"mmm-yy")</f>
        <v>Jul-23</v>
      </c>
      <c r="N564" s="4">
        <f t="shared" si="8"/>
        <v>11717.100208768266</v>
      </c>
      <c r="O564" s="3" cm="1">
        <f t="array" ref="O564">_xlfn.IFS(AND(K564="Broker",J564="Resale"),F564*0.5,AND(K564="Owner",J564="Resale"),F564*0,AND(K564="Builder",J564="Resale"),F564*0.3,AND(J564="New",K564="Broker"),F564*0.1,AND(J564="New",K564="Owner"),F564*0,AND(J564="New",K564="Builder"),F564*0.5)</f>
        <v>5051241.8999999994</v>
      </c>
    </row>
    <row r="565" spans="1:15" x14ac:dyDescent="0.3">
      <c r="A565" s="8" t="s">
        <v>614</v>
      </c>
      <c r="B565" s="4" t="s">
        <v>487</v>
      </c>
      <c r="C565" s="4" t="s">
        <v>490</v>
      </c>
      <c r="D565" s="4">
        <v>4</v>
      </c>
      <c r="E565" s="4">
        <v>1558</v>
      </c>
      <c r="F565" s="4">
        <v>18726974</v>
      </c>
      <c r="G565" s="4">
        <v>2</v>
      </c>
      <c r="H565" s="4">
        <v>2</v>
      </c>
      <c r="I565" s="4" t="s">
        <v>8</v>
      </c>
      <c r="J565" s="4" t="s">
        <v>23</v>
      </c>
      <c r="K565" s="4" t="s">
        <v>20</v>
      </c>
      <c r="L565" s="9">
        <v>45301</v>
      </c>
      <c r="M565" s="9" t="str">
        <f>TEXT(Source_data[[#This Row],[Listing_Date]],"mmm-yy")</f>
        <v>Jan-24</v>
      </c>
      <c r="N565" s="4">
        <f t="shared" si="8"/>
        <v>12019.880616174583</v>
      </c>
      <c r="O565" s="3" cm="1">
        <f t="array" ref="O565">_xlfn.IFS(AND(K565="Broker",J565="Resale"),F565*0.5,AND(K565="Owner",J565="Resale"),F565*0,AND(K565="Builder",J565="Resale"),F565*0.3,AND(J565="New",K565="Broker"),F565*0.1,AND(J565="New",K565="Owner"),F565*0,AND(J565="New",K565="Builder"),F565*0.5)</f>
        <v>9363487</v>
      </c>
    </row>
    <row r="566" spans="1:15" x14ac:dyDescent="0.3">
      <c r="A566" s="8" t="s">
        <v>615</v>
      </c>
      <c r="B566" s="4" t="s">
        <v>487</v>
      </c>
      <c r="C566" s="4" t="s">
        <v>498</v>
      </c>
      <c r="D566" s="4">
        <v>1</v>
      </c>
      <c r="E566" s="4">
        <v>641</v>
      </c>
      <c r="F566" s="4">
        <v>8401163</v>
      </c>
      <c r="G566" s="4">
        <v>1</v>
      </c>
      <c r="H566" s="4">
        <v>1</v>
      </c>
      <c r="I566" s="4" t="s">
        <v>8</v>
      </c>
      <c r="J566" s="4" t="s">
        <v>23</v>
      </c>
      <c r="K566" s="4" t="s">
        <v>20</v>
      </c>
      <c r="L566" s="9">
        <v>45714</v>
      </c>
      <c r="M566" s="9" t="str">
        <f>TEXT(Source_data[[#This Row],[Listing_Date]],"mmm-yy")</f>
        <v>Feb-25</v>
      </c>
      <c r="N566" s="4">
        <f t="shared" si="8"/>
        <v>13106.338533541342</v>
      </c>
      <c r="O566" s="3" cm="1">
        <f t="array" ref="O566">_xlfn.IFS(AND(K566="Broker",J566="Resale"),F566*0.5,AND(K566="Owner",J566="Resale"),F566*0,AND(K566="Builder",J566="Resale"),F566*0.3,AND(J566="New",K566="Broker"),F566*0.1,AND(J566="New",K566="Owner"),F566*0,AND(J566="New",K566="Builder"),F566*0.5)</f>
        <v>4200581.5</v>
      </c>
    </row>
    <row r="567" spans="1:15" x14ac:dyDescent="0.3">
      <c r="A567" s="8" t="s">
        <v>616</v>
      </c>
      <c r="B567" s="4" t="s">
        <v>487</v>
      </c>
      <c r="C567" s="4" t="s">
        <v>495</v>
      </c>
      <c r="D567" s="4">
        <v>2</v>
      </c>
      <c r="E567" s="4">
        <v>1049</v>
      </c>
      <c r="F567" s="4">
        <v>17432704</v>
      </c>
      <c r="G567" s="4">
        <v>2</v>
      </c>
      <c r="H567" s="4">
        <v>2</v>
      </c>
      <c r="I567" s="4" t="s">
        <v>27</v>
      </c>
      <c r="J567" s="4" t="s">
        <v>19</v>
      </c>
      <c r="K567" s="4" t="s">
        <v>20</v>
      </c>
      <c r="L567" s="9">
        <v>45257</v>
      </c>
      <c r="M567" s="9" t="str">
        <f>TEXT(Source_data[[#This Row],[Listing_Date]],"mmm-yy")</f>
        <v>Nov-23</v>
      </c>
      <c r="N567" s="4">
        <f t="shared" si="8"/>
        <v>16618.40228789323</v>
      </c>
      <c r="O567" s="3" cm="1">
        <f t="array" ref="O567">_xlfn.IFS(AND(K567="Broker",J567="Resale"),F567*0.5,AND(K567="Owner",J567="Resale"),F567*0,AND(K567="Builder",J567="Resale"),F567*0.3,AND(J567="New",K567="Broker"),F567*0.1,AND(J567="New",K567="Owner"),F567*0,AND(J567="New",K567="Builder"),F567*0.5)</f>
        <v>1743270.4000000001</v>
      </c>
    </row>
    <row r="568" spans="1:15" x14ac:dyDescent="0.3">
      <c r="A568" s="8" t="s">
        <v>617</v>
      </c>
      <c r="B568" s="4" t="s">
        <v>487</v>
      </c>
      <c r="C568" s="4" t="s">
        <v>492</v>
      </c>
      <c r="D568" s="4">
        <v>2</v>
      </c>
      <c r="E568" s="4">
        <v>1012</v>
      </c>
      <c r="F568" s="4">
        <v>13763362</v>
      </c>
      <c r="G568" s="4">
        <v>1</v>
      </c>
      <c r="H568" s="4">
        <v>2</v>
      </c>
      <c r="I568" s="4" t="s">
        <v>8</v>
      </c>
      <c r="J568" s="4" t="s">
        <v>23</v>
      </c>
      <c r="K568" s="4" t="s">
        <v>20</v>
      </c>
      <c r="L568" s="9">
        <v>45652</v>
      </c>
      <c r="M568" s="9" t="str">
        <f>TEXT(Source_data[[#This Row],[Listing_Date]],"mmm-yy")</f>
        <v>Dec-24</v>
      </c>
      <c r="N568" s="4">
        <f t="shared" si="8"/>
        <v>13600.160079051384</v>
      </c>
      <c r="O568" s="3" cm="1">
        <f t="array" ref="O568">_xlfn.IFS(AND(K568="Broker",J568="Resale"),F568*0.5,AND(K568="Owner",J568="Resale"),F568*0,AND(K568="Builder",J568="Resale"),F568*0.3,AND(J568="New",K568="Broker"),F568*0.1,AND(J568="New",K568="Owner"),F568*0,AND(J568="New",K568="Builder"),F568*0.5)</f>
        <v>6881681</v>
      </c>
    </row>
    <row r="569" spans="1:15" x14ac:dyDescent="0.3">
      <c r="A569" s="8" t="s">
        <v>618</v>
      </c>
      <c r="B569" s="4" t="s">
        <v>487</v>
      </c>
      <c r="C569" s="4" t="s">
        <v>488</v>
      </c>
      <c r="D569" s="4">
        <v>3</v>
      </c>
      <c r="E569" s="4">
        <v>1378</v>
      </c>
      <c r="F569" s="4">
        <v>15858949</v>
      </c>
      <c r="G569" s="4">
        <v>2</v>
      </c>
      <c r="H569" s="4">
        <v>1</v>
      </c>
      <c r="I569" s="4" t="s">
        <v>18</v>
      </c>
      <c r="J569" s="4" t="s">
        <v>23</v>
      </c>
      <c r="K569" s="4" t="s">
        <v>24</v>
      </c>
      <c r="L569" s="9">
        <v>45609</v>
      </c>
      <c r="M569" s="9" t="str">
        <f>TEXT(Source_data[[#This Row],[Listing_Date]],"mmm-yy")</f>
        <v>Nov-24</v>
      </c>
      <c r="N569" s="4">
        <f t="shared" si="8"/>
        <v>11508.671262699565</v>
      </c>
      <c r="O569" s="3" cm="1">
        <f t="array" ref="O569">_xlfn.IFS(AND(K569="Broker",J569="Resale"),F569*0.5,AND(K569="Owner",J569="Resale"),F569*0,AND(K569="Builder",J569="Resale"),F569*0.3,AND(J569="New",K569="Broker"),F569*0.1,AND(J569="New",K569="Owner"),F569*0,AND(J569="New",K569="Builder"),F569*0.5)</f>
        <v>4757684.7</v>
      </c>
    </row>
    <row r="570" spans="1:15" x14ac:dyDescent="0.3">
      <c r="A570" s="8" t="s">
        <v>619</v>
      </c>
      <c r="B570" s="4" t="s">
        <v>487</v>
      </c>
      <c r="C570" s="4" t="s">
        <v>492</v>
      </c>
      <c r="D570" s="4">
        <v>2</v>
      </c>
      <c r="E570" s="4">
        <v>926</v>
      </c>
      <c r="F570" s="4">
        <v>11756072</v>
      </c>
      <c r="G570" s="4">
        <v>1</v>
      </c>
      <c r="H570" s="4">
        <v>2</v>
      </c>
      <c r="I570" s="4" t="s">
        <v>8</v>
      </c>
      <c r="J570" s="4" t="s">
        <v>19</v>
      </c>
      <c r="K570" s="4" t="s">
        <v>36</v>
      </c>
      <c r="L570" s="9">
        <v>45444</v>
      </c>
      <c r="M570" s="9" t="str">
        <f>TEXT(Source_data[[#This Row],[Listing_Date]],"mmm-yy")</f>
        <v>Jun-24</v>
      </c>
      <c r="N570" s="4">
        <f t="shared" si="8"/>
        <v>12695.54211663067</v>
      </c>
      <c r="O570" s="3" cm="1">
        <f t="array" ref="O570">_xlfn.IFS(AND(K570="Broker",J570="Resale"),F570*0.5,AND(K570="Owner",J570="Resale"),F570*0,AND(K570="Builder",J570="Resale"),F570*0.3,AND(J570="New",K570="Broker"),F570*0.1,AND(J570="New",K570="Owner"),F570*0,AND(J570="New",K570="Builder"),F570*0.5)</f>
        <v>0</v>
      </c>
    </row>
    <row r="571" spans="1:15" x14ac:dyDescent="0.3">
      <c r="A571" s="8" t="s">
        <v>620</v>
      </c>
      <c r="B571" s="4" t="s">
        <v>487</v>
      </c>
      <c r="C571" s="4" t="s">
        <v>495</v>
      </c>
      <c r="D571" s="4">
        <v>2</v>
      </c>
      <c r="E571" s="4">
        <v>659</v>
      </c>
      <c r="F571" s="4">
        <v>8005687</v>
      </c>
      <c r="G571" s="4">
        <v>2</v>
      </c>
      <c r="H571" s="4">
        <v>3</v>
      </c>
      <c r="I571" s="4" t="s">
        <v>27</v>
      </c>
      <c r="J571" s="4" t="s">
        <v>23</v>
      </c>
      <c r="K571" s="4" t="s">
        <v>20</v>
      </c>
      <c r="L571" s="9">
        <v>45003</v>
      </c>
      <c r="M571" s="9" t="str">
        <f>TEXT(Source_data[[#This Row],[Listing_Date]],"mmm-yy")</f>
        <v>Mar-23</v>
      </c>
      <c r="N571" s="4">
        <f t="shared" si="8"/>
        <v>12148.235204855842</v>
      </c>
      <c r="O571" s="3" cm="1">
        <f t="array" ref="O571">_xlfn.IFS(AND(K571="Broker",J571="Resale"),F571*0.5,AND(K571="Owner",J571="Resale"),F571*0,AND(K571="Builder",J571="Resale"),F571*0.3,AND(J571="New",K571="Broker"),F571*0.1,AND(J571="New",K571="Owner"),F571*0,AND(J571="New",K571="Builder"),F571*0.5)</f>
        <v>4002843.5</v>
      </c>
    </row>
    <row r="572" spans="1:15" x14ac:dyDescent="0.3">
      <c r="A572" s="8" t="s">
        <v>621</v>
      </c>
      <c r="B572" s="4" t="s">
        <v>487</v>
      </c>
      <c r="C572" s="4" t="s">
        <v>488</v>
      </c>
      <c r="D572" s="4">
        <v>3</v>
      </c>
      <c r="E572" s="4">
        <v>1490</v>
      </c>
      <c r="F572" s="4">
        <v>13138452</v>
      </c>
      <c r="G572" s="4">
        <v>3</v>
      </c>
      <c r="H572" s="4">
        <v>2</v>
      </c>
      <c r="I572" s="4" t="s">
        <v>8</v>
      </c>
      <c r="J572" s="4" t="s">
        <v>23</v>
      </c>
      <c r="K572" s="4" t="s">
        <v>20</v>
      </c>
      <c r="L572" s="9">
        <v>45202</v>
      </c>
      <c r="M572" s="9" t="str">
        <f>TEXT(Source_data[[#This Row],[Listing_Date]],"mmm-yy")</f>
        <v>Oct-23</v>
      </c>
      <c r="N572" s="4">
        <f t="shared" si="8"/>
        <v>8817.7530201342288</v>
      </c>
      <c r="O572" s="3" cm="1">
        <f t="array" ref="O572">_xlfn.IFS(AND(K572="Broker",J572="Resale"),F572*0.5,AND(K572="Owner",J572="Resale"),F572*0,AND(K572="Builder",J572="Resale"),F572*0.3,AND(J572="New",K572="Broker"),F572*0.1,AND(J572="New",K572="Owner"),F572*0,AND(J572="New",K572="Builder"),F572*0.5)</f>
        <v>6569226</v>
      </c>
    </row>
    <row r="573" spans="1:15" x14ac:dyDescent="0.3">
      <c r="A573" s="8" t="s">
        <v>622</v>
      </c>
      <c r="B573" s="4" t="s">
        <v>487</v>
      </c>
      <c r="C573" s="4" t="s">
        <v>495</v>
      </c>
      <c r="D573" s="4">
        <v>4</v>
      </c>
      <c r="E573" s="4">
        <v>2847</v>
      </c>
      <c r="F573" s="4">
        <v>26646420</v>
      </c>
      <c r="G573" s="4">
        <v>3</v>
      </c>
      <c r="H573" s="4">
        <v>2</v>
      </c>
      <c r="I573" s="4" t="s">
        <v>18</v>
      </c>
      <c r="J573" s="4" t="s">
        <v>23</v>
      </c>
      <c r="K573" s="4" t="s">
        <v>24</v>
      </c>
      <c r="L573" s="9">
        <v>45367</v>
      </c>
      <c r="M573" s="9" t="str">
        <f>TEXT(Source_data[[#This Row],[Listing_Date]],"mmm-yy")</f>
        <v>Mar-24</v>
      </c>
      <c r="N573" s="4">
        <f t="shared" si="8"/>
        <v>9359.4731296101163</v>
      </c>
      <c r="O573" s="3" cm="1">
        <f t="array" ref="O573">_xlfn.IFS(AND(K573="Broker",J573="Resale"),F573*0.5,AND(K573="Owner",J573="Resale"),F573*0,AND(K573="Builder",J573="Resale"),F573*0.3,AND(J573="New",K573="Broker"),F573*0.1,AND(J573="New",K573="Owner"),F573*0,AND(J573="New",K573="Builder"),F573*0.5)</f>
        <v>7993926</v>
      </c>
    </row>
    <row r="574" spans="1:15" x14ac:dyDescent="0.3">
      <c r="A574" s="8" t="s">
        <v>623</v>
      </c>
      <c r="B574" s="4" t="s">
        <v>487</v>
      </c>
      <c r="C574" s="4" t="s">
        <v>490</v>
      </c>
      <c r="D574" s="4">
        <v>5</v>
      </c>
      <c r="E574" s="4">
        <v>3237</v>
      </c>
      <c r="F574" s="4">
        <v>40504945</v>
      </c>
      <c r="G574" s="4">
        <v>3</v>
      </c>
      <c r="H574" s="4">
        <v>1</v>
      </c>
      <c r="I574" s="4" t="s">
        <v>27</v>
      </c>
      <c r="J574" s="4" t="s">
        <v>19</v>
      </c>
      <c r="K574" s="4" t="s">
        <v>24</v>
      </c>
      <c r="L574" s="9">
        <v>45365</v>
      </c>
      <c r="M574" s="9" t="str">
        <f>TEXT(Source_data[[#This Row],[Listing_Date]],"mmm-yy")</f>
        <v>Mar-24</v>
      </c>
      <c r="N574" s="4">
        <f t="shared" si="8"/>
        <v>12513.112449799197</v>
      </c>
      <c r="O574" s="3" cm="1">
        <f t="array" ref="O574">_xlfn.IFS(AND(K574="Broker",J574="Resale"),F574*0.5,AND(K574="Owner",J574="Resale"),F574*0,AND(K574="Builder",J574="Resale"),F574*0.3,AND(J574="New",K574="Broker"),F574*0.1,AND(J574="New",K574="Owner"),F574*0,AND(J574="New",K574="Builder"),F574*0.5)</f>
        <v>20252472.5</v>
      </c>
    </row>
    <row r="575" spans="1:15" x14ac:dyDescent="0.3">
      <c r="A575" s="8" t="s">
        <v>624</v>
      </c>
      <c r="B575" s="4" t="s">
        <v>487</v>
      </c>
      <c r="C575" s="4" t="s">
        <v>492</v>
      </c>
      <c r="D575" s="4">
        <v>3</v>
      </c>
      <c r="E575" s="4">
        <v>1423</v>
      </c>
      <c r="F575" s="4">
        <v>18744059</v>
      </c>
      <c r="G575" s="4">
        <v>4</v>
      </c>
      <c r="H575" s="4">
        <v>4</v>
      </c>
      <c r="I575" s="4" t="s">
        <v>8</v>
      </c>
      <c r="J575" s="4" t="s">
        <v>23</v>
      </c>
      <c r="K575" s="4" t="s">
        <v>24</v>
      </c>
      <c r="L575" s="9">
        <v>45502</v>
      </c>
      <c r="M575" s="9" t="str">
        <f>TEXT(Source_data[[#This Row],[Listing_Date]],"mmm-yy")</f>
        <v>Jul-24</v>
      </c>
      <c r="N575" s="4">
        <f t="shared" si="8"/>
        <v>13172.212930428672</v>
      </c>
      <c r="O575" s="3" cm="1">
        <f t="array" ref="O575">_xlfn.IFS(AND(K575="Broker",J575="Resale"),F575*0.5,AND(K575="Owner",J575="Resale"),F575*0,AND(K575="Builder",J575="Resale"),F575*0.3,AND(J575="New",K575="Broker"),F575*0.1,AND(J575="New",K575="Owner"),F575*0,AND(J575="New",K575="Builder"),F575*0.5)</f>
        <v>5623217.7000000002</v>
      </c>
    </row>
    <row r="576" spans="1:15" x14ac:dyDescent="0.3">
      <c r="A576" s="8" t="s">
        <v>625</v>
      </c>
      <c r="B576" s="4" t="s">
        <v>487</v>
      </c>
      <c r="C576" s="4" t="s">
        <v>490</v>
      </c>
      <c r="D576" s="4">
        <v>3</v>
      </c>
      <c r="E576" s="4">
        <v>932</v>
      </c>
      <c r="F576" s="4">
        <v>10160525</v>
      </c>
      <c r="G576" s="4">
        <v>4</v>
      </c>
      <c r="H576" s="4">
        <v>3</v>
      </c>
      <c r="I576" s="4" t="s">
        <v>8</v>
      </c>
      <c r="J576" s="4" t="s">
        <v>19</v>
      </c>
      <c r="K576" s="4" t="s">
        <v>36</v>
      </c>
      <c r="L576" s="9">
        <v>45410</v>
      </c>
      <c r="M576" s="9" t="str">
        <f>TEXT(Source_data[[#This Row],[Listing_Date]],"mmm-yy")</f>
        <v>Apr-24</v>
      </c>
      <c r="N576" s="4">
        <f t="shared" si="8"/>
        <v>10901.850858369098</v>
      </c>
      <c r="O576" s="3" cm="1">
        <f t="array" ref="O576">_xlfn.IFS(AND(K576="Broker",J576="Resale"),F576*0.5,AND(K576="Owner",J576="Resale"),F576*0,AND(K576="Builder",J576="Resale"),F576*0.3,AND(J576="New",K576="Broker"),F576*0.1,AND(J576="New",K576="Owner"),F576*0,AND(J576="New",K576="Builder"),F576*0.5)</f>
        <v>0</v>
      </c>
    </row>
    <row r="577" spans="1:15" x14ac:dyDescent="0.3">
      <c r="A577" s="8" t="s">
        <v>626</v>
      </c>
      <c r="B577" s="4" t="s">
        <v>487</v>
      </c>
      <c r="C577" s="4" t="s">
        <v>490</v>
      </c>
      <c r="D577" s="4">
        <v>3</v>
      </c>
      <c r="E577" s="4">
        <v>1566</v>
      </c>
      <c r="F577" s="4">
        <v>18770372</v>
      </c>
      <c r="G577" s="4">
        <v>2</v>
      </c>
      <c r="H577" s="4">
        <v>1</v>
      </c>
      <c r="I577" s="4" t="s">
        <v>27</v>
      </c>
      <c r="J577" s="4" t="s">
        <v>19</v>
      </c>
      <c r="K577" s="4" t="s">
        <v>24</v>
      </c>
      <c r="L577" s="9">
        <v>45780</v>
      </c>
      <c r="M577" s="9" t="str">
        <f>TEXT(Source_data[[#This Row],[Listing_Date]],"mmm-yy")</f>
        <v>May-25</v>
      </c>
      <c r="N577" s="4">
        <f t="shared" si="8"/>
        <v>11986.18901660281</v>
      </c>
      <c r="O577" s="3" cm="1">
        <f t="array" ref="O577">_xlfn.IFS(AND(K577="Broker",J577="Resale"),F577*0.5,AND(K577="Owner",J577="Resale"),F577*0,AND(K577="Builder",J577="Resale"),F577*0.3,AND(J577="New",K577="Broker"),F577*0.1,AND(J577="New",K577="Owner"),F577*0,AND(J577="New",K577="Builder"),F577*0.5)</f>
        <v>9385186</v>
      </c>
    </row>
    <row r="578" spans="1:15" x14ac:dyDescent="0.3">
      <c r="A578" s="8" t="s">
        <v>627</v>
      </c>
      <c r="B578" s="4" t="s">
        <v>487</v>
      </c>
      <c r="C578" s="4" t="s">
        <v>501</v>
      </c>
      <c r="D578" s="4">
        <v>2</v>
      </c>
      <c r="E578" s="4">
        <v>877</v>
      </c>
      <c r="F578" s="4">
        <v>10733129</v>
      </c>
      <c r="G578" s="4">
        <v>2</v>
      </c>
      <c r="H578" s="4">
        <v>4</v>
      </c>
      <c r="I578" s="4" t="s">
        <v>18</v>
      </c>
      <c r="J578" s="4" t="s">
        <v>23</v>
      </c>
      <c r="K578" s="4" t="s">
        <v>20</v>
      </c>
      <c r="L578" s="9">
        <v>45287</v>
      </c>
      <c r="M578" s="9" t="str">
        <f>TEXT(Source_data[[#This Row],[Listing_Date]],"mmm-yy")</f>
        <v>Dec-23</v>
      </c>
      <c r="N578" s="4">
        <f t="shared" si="8"/>
        <v>12238.459521094641</v>
      </c>
      <c r="O578" s="3" cm="1">
        <f t="array" ref="O578">_xlfn.IFS(AND(K578="Broker",J578="Resale"),F578*0.5,AND(K578="Owner",J578="Resale"),F578*0,AND(K578="Builder",J578="Resale"),F578*0.3,AND(J578="New",K578="Broker"),F578*0.1,AND(J578="New",K578="Owner"),F578*0,AND(J578="New",K578="Builder"),F578*0.5)</f>
        <v>5366564.5</v>
      </c>
    </row>
    <row r="579" spans="1:15" x14ac:dyDescent="0.3">
      <c r="A579" s="8" t="s">
        <v>628</v>
      </c>
      <c r="B579" s="4" t="s">
        <v>487</v>
      </c>
      <c r="C579" s="4" t="s">
        <v>501</v>
      </c>
      <c r="D579" s="4">
        <v>4</v>
      </c>
      <c r="E579" s="4">
        <v>1434</v>
      </c>
      <c r="F579" s="4">
        <v>36585312</v>
      </c>
      <c r="G579" s="4">
        <v>3</v>
      </c>
      <c r="H579" s="4">
        <v>2</v>
      </c>
      <c r="I579" s="4" t="s">
        <v>18</v>
      </c>
      <c r="J579" s="4" t="s">
        <v>23</v>
      </c>
      <c r="K579" s="4" t="s">
        <v>36</v>
      </c>
      <c r="L579" s="9">
        <v>45245</v>
      </c>
      <c r="M579" s="9" t="str">
        <f>TEXT(Source_data[[#This Row],[Listing_Date]],"mmm-yy")</f>
        <v>Nov-23</v>
      </c>
      <c r="N579" s="4">
        <f t="shared" ref="N579:N642" si="9">F579/E579</f>
        <v>25512.769874476988</v>
      </c>
      <c r="O579" s="3" cm="1">
        <f t="array" ref="O579">_xlfn.IFS(AND(K579="Broker",J579="Resale"),F579*0.5,AND(K579="Owner",J579="Resale"),F579*0,AND(K579="Builder",J579="Resale"),F579*0.3,AND(J579="New",K579="Broker"),F579*0.1,AND(J579="New",K579="Owner"),F579*0,AND(J579="New",K579="Builder"),F579*0.5)</f>
        <v>0</v>
      </c>
    </row>
    <row r="580" spans="1:15" x14ac:dyDescent="0.3">
      <c r="A580" s="8" t="s">
        <v>629</v>
      </c>
      <c r="B580" s="4" t="s">
        <v>487</v>
      </c>
      <c r="C580" s="4" t="s">
        <v>492</v>
      </c>
      <c r="D580" s="4">
        <v>3</v>
      </c>
      <c r="E580" s="4">
        <v>1204</v>
      </c>
      <c r="F580" s="4">
        <v>11794381</v>
      </c>
      <c r="G580" s="4">
        <v>4</v>
      </c>
      <c r="H580" s="4">
        <v>2</v>
      </c>
      <c r="I580" s="4" t="s">
        <v>18</v>
      </c>
      <c r="J580" s="4" t="s">
        <v>23</v>
      </c>
      <c r="K580" s="4" t="s">
        <v>24</v>
      </c>
      <c r="L580" s="9">
        <v>45482</v>
      </c>
      <c r="M580" s="9" t="str">
        <f>TEXT(Source_data[[#This Row],[Listing_Date]],"mmm-yy")</f>
        <v>Jul-24</v>
      </c>
      <c r="N580" s="4">
        <f t="shared" si="9"/>
        <v>9795.997508305647</v>
      </c>
      <c r="O580" s="3" cm="1">
        <f t="array" ref="O580">_xlfn.IFS(AND(K580="Broker",J580="Resale"),F580*0.5,AND(K580="Owner",J580="Resale"),F580*0,AND(K580="Builder",J580="Resale"),F580*0.3,AND(J580="New",K580="Broker"),F580*0.1,AND(J580="New",K580="Owner"),F580*0,AND(J580="New",K580="Builder"),F580*0.5)</f>
        <v>3538314.3</v>
      </c>
    </row>
    <row r="581" spans="1:15" x14ac:dyDescent="0.3">
      <c r="A581" s="8" t="s">
        <v>630</v>
      </c>
      <c r="B581" s="4" t="s">
        <v>487</v>
      </c>
      <c r="C581" s="4" t="s">
        <v>490</v>
      </c>
      <c r="D581" s="4">
        <v>3</v>
      </c>
      <c r="E581" s="4">
        <v>1463</v>
      </c>
      <c r="F581" s="4">
        <v>16891282</v>
      </c>
      <c r="G581" s="4">
        <v>3</v>
      </c>
      <c r="H581" s="4">
        <v>4</v>
      </c>
      <c r="I581" s="4" t="s">
        <v>8</v>
      </c>
      <c r="J581" s="4" t="s">
        <v>19</v>
      </c>
      <c r="K581" s="4" t="s">
        <v>36</v>
      </c>
      <c r="L581" s="9">
        <v>45408</v>
      </c>
      <c r="M581" s="9" t="str">
        <f>TEXT(Source_data[[#This Row],[Listing_Date]],"mmm-yy")</f>
        <v>Apr-24</v>
      </c>
      <c r="N581" s="4">
        <f t="shared" si="9"/>
        <v>11545.647300068353</v>
      </c>
      <c r="O581" s="3" cm="1">
        <f t="array" ref="O581">_xlfn.IFS(AND(K581="Broker",J581="Resale"),F581*0.5,AND(K581="Owner",J581="Resale"),F581*0,AND(K581="Builder",J581="Resale"),F581*0.3,AND(J581="New",K581="Broker"),F581*0.1,AND(J581="New",K581="Owner"),F581*0,AND(J581="New",K581="Builder"),F581*0.5)</f>
        <v>0</v>
      </c>
    </row>
    <row r="582" spans="1:15" x14ac:dyDescent="0.3">
      <c r="A582" s="8" t="s">
        <v>631</v>
      </c>
      <c r="B582" s="4" t="s">
        <v>487</v>
      </c>
      <c r="C582" s="4" t="s">
        <v>501</v>
      </c>
      <c r="D582" s="4">
        <v>3</v>
      </c>
      <c r="E582" s="4">
        <v>1199</v>
      </c>
      <c r="F582" s="4">
        <v>15411867</v>
      </c>
      <c r="G582" s="4">
        <v>2</v>
      </c>
      <c r="H582" s="4">
        <v>3</v>
      </c>
      <c r="I582" s="4" t="s">
        <v>8</v>
      </c>
      <c r="J582" s="4" t="s">
        <v>19</v>
      </c>
      <c r="K582" s="4" t="s">
        <v>24</v>
      </c>
      <c r="L582" s="9">
        <v>45880</v>
      </c>
      <c r="M582" s="9" t="str">
        <f>TEXT(Source_data[[#This Row],[Listing_Date]],"mmm-yy")</f>
        <v>Aug-25</v>
      </c>
      <c r="N582" s="4">
        <f t="shared" si="9"/>
        <v>12853.9341117598</v>
      </c>
      <c r="O582" s="3" cm="1">
        <f t="array" ref="O582">_xlfn.IFS(AND(K582="Broker",J582="Resale"),F582*0.5,AND(K582="Owner",J582="Resale"),F582*0,AND(K582="Builder",J582="Resale"),F582*0.3,AND(J582="New",K582="Broker"),F582*0.1,AND(J582="New",K582="Owner"),F582*0,AND(J582="New",K582="Builder"),F582*0.5)</f>
        <v>7705933.5</v>
      </c>
    </row>
    <row r="583" spans="1:15" x14ac:dyDescent="0.3">
      <c r="A583" s="8" t="s">
        <v>632</v>
      </c>
      <c r="B583" s="4" t="s">
        <v>487</v>
      </c>
      <c r="C583" s="4" t="s">
        <v>488</v>
      </c>
      <c r="D583" s="4">
        <v>4</v>
      </c>
      <c r="E583" s="4">
        <v>1721</v>
      </c>
      <c r="F583" s="4">
        <v>19068135</v>
      </c>
      <c r="G583" s="4">
        <v>3</v>
      </c>
      <c r="H583" s="4">
        <v>2</v>
      </c>
      <c r="I583" s="4" t="s">
        <v>8</v>
      </c>
      <c r="J583" s="4" t="s">
        <v>23</v>
      </c>
      <c r="K583" s="4" t="s">
        <v>24</v>
      </c>
      <c r="L583" s="9">
        <v>45656</v>
      </c>
      <c r="M583" s="9" t="str">
        <f>TEXT(Source_data[[#This Row],[Listing_Date]],"mmm-yy")</f>
        <v>Dec-24</v>
      </c>
      <c r="N583" s="4">
        <f t="shared" si="9"/>
        <v>11079.683323649042</v>
      </c>
      <c r="O583" s="3" cm="1">
        <f t="array" ref="O583">_xlfn.IFS(AND(K583="Broker",J583="Resale"),F583*0.5,AND(K583="Owner",J583="Resale"),F583*0,AND(K583="Builder",J583="Resale"),F583*0.3,AND(J583="New",K583="Broker"),F583*0.1,AND(J583="New",K583="Owner"),F583*0,AND(J583="New",K583="Builder"),F583*0.5)</f>
        <v>5720440.5</v>
      </c>
    </row>
    <row r="584" spans="1:15" x14ac:dyDescent="0.3">
      <c r="A584" s="8" t="s">
        <v>633</v>
      </c>
      <c r="B584" s="4" t="s">
        <v>487</v>
      </c>
      <c r="C584" s="4" t="s">
        <v>492</v>
      </c>
      <c r="D584" s="4">
        <v>4</v>
      </c>
      <c r="E584" s="4">
        <v>1950</v>
      </c>
      <c r="F584" s="4">
        <v>21684736</v>
      </c>
      <c r="G584" s="4">
        <v>3</v>
      </c>
      <c r="H584" s="4">
        <v>1</v>
      </c>
      <c r="I584" s="4" t="s">
        <v>27</v>
      </c>
      <c r="J584" s="4" t="s">
        <v>19</v>
      </c>
      <c r="K584" s="4" t="s">
        <v>36</v>
      </c>
      <c r="L584" s="9">
        <v>45621</v>
      </c>
      <c r="M584" s="9" t="str">
        <f>TEXT(Source_data[[#This Row],[Listing_Date]],"mmm-yy")</f>
        <v>Nov-24</v>
      </c>
      <c r="N584" s="4">
        <f t="shared" si="9"/>
        <v>11120.377435897435</v>
      </c>
      <c r="O584" s="3" cm="1">
        <f t="array" ref="O584">_xlfn.IFS(AND(K584="Broker",J584="Resale"),F584*0.5,AND(K584="Owner",J584="Resale"),F584*0,AND(K584="Builder",J584="Resale"),F584*0.3,AND(J584="New",K584="Broker"),F584*0.1,AND(J584="New",K584="Owner"),F584*0,AND(J584="New",K584="Builder"),F584*0.5)</f>
        <v>0</v>
      </c>
    </row>
    <row r="585" spans="1:15" x14ac:dyDescent="0.3">
      <c r="A585" s="8" t="s">
        <v>634</v>
      </c>
      <c r="B585" s="4" t="s">
        <v>487</v>
      </c>
      <c r="C585" s="4" t="s">
        <v>488</v>
      </c>
      <c r="D585" s="4">
        <v>1</v>
      </c>
      <c r="E585" s="4">
        <v>690</v>
      </c>
      <c r="F585" s="4">
        <v>8495157</v>
      </c>
      <c r="G585" s="4">
        <v>1</v>
      </c>
      <c r="H585" s="4">
        <v>1</v>
      </c>
      <c r="I585" s="4" t="s">
        <v>27</v>
      </c>
      <c r="J585" s="4" t="s">
        <v>19</v>
      </c>
      <c r="K585" s="4" t="s">
        <v>24</v>
      </c>
      <c r="L585" s="9">
        <v>45629</v>
      </c>
      <c r="M585" s="9" t="str">
        <f>TEXT(Source_data[[#This Row],[Listing_Date]],"mmm-yy")</f>
        <v>Dec-24</v>
      </c>
      <c r="N585" s="4">
        <f t="shared" si="9"/>
        <v>12311.821739130435</v>
      </c>
      <c r="O585" s="3" cm="1">
        <f t="array" ref="O585">_xlfn.IFS(AND(K585="Broker",J585="Resale"),F585*0.5,AND(K585="Owner",J585="Resale"),F585*0,AND(K585="Builder",J585="Resale"),F585*0.3,AND(J585="New",K585="Broker"),F585*0.1,AND(J585="New",K585="Owner"),F585*0,AND(J585="New",K585="Builder"),F585*0.5)</f>
        <v>4247578.5</v>
      </c>
    </row>
    <row r="586" spans="1:15" x14ac:dyDescent="0.3">
      <c r="A586" s="8" t="s">
        <v>635</v>
      </c>
      <c r="B586" s="4" t="s">
        <v>487</v>
      </c>
      <c r="C586" s="4" t="s">
        <v>488</v>
      </c>
      <c r="D586" s="4">
        <v>3</v>
      </c>
      <c r="E586" s="4">
        <v>1239</v>
      </c>
      <c r="F586" s="4">
        <v>15409895</v>
      </c>
      <c r="G586" s="4">
        <v>4</v>
      </c>
      <c r="H586" s="4">
        <v>2</v>
      </c>
      <c r="I586" s="4" t="s">
        <v>27</v>
      </c>
      <c r="J586" s="4" t="s">
        <v>19</v>
      </c>
      <c r="K586" s="4" t="s">
        <v>20</v>
      </c>
      <c r="L586" s="9">
        <v>45846</v>
      </c>
      <c r="M586" s="9" t="str">
        <f>TEXT(Source_data[[#This Row],[Listing_Date]],"mmm-yy")</f>
        <v>Jul-25</v>
      </c>
      <c r="N586" s="4">
        <f t="shared" si="9"/>
        <v>12437.364810330911</v>
      </c>
      <c r="O586" s="3" cm="1">
        <f t="array" ref="O586">_xlfn.IFS(AND(K586="Broker",J586="Resale"),F586*0.5,AND(K586="Owner",J586="Resale"),F586*0,AND(K586="Builder",J586="Resale"),F586*0.3,AND(J586="New",K586="Broker"),F586*0.1,AND(J586="New",K586="Owner"),F586*0,AND(J586="New",K586="Builder"),F586*0.5)</f>
        <v>1540989.5</v>
      </c>
    </row>
    <row r="587" spans="1:15" x14ac:dyDescent="0.3">
      <c r="A587" s="8" t="s">
        <v>636</v>
      </c>
      <c r="B587" s="4" t="s">
        <v>487</v>
      </c>
      <c r="C587" s="4" t="s">
        <v>498</v>
      </c>
      <c r="D587" s="4">
        <v>4</v>
      </c>
      <c r="E587" s="4">
        <v>1404</v>
      </c>
      <c r="F587" s="4">
        <v>19113850</v>
      </c>
      <c r="G587" s="4">
        <v>3</v>
      </c>
      <c r="H587" s="4">
        <v>1</v>
      </c>
      <c r="I587" s="4" t="s">
        <v>8</v>
      </c>
      <c r="J587" s="4" t="s">
        <v>23</v>
      </c>
      <c r="K587" s="4" t="s">
        <v>36</v>
      </c>
      <c r="L587" s="9">
        <v>45387</v>
      </c>
      <c r="M587" s="9" t="str">
        <f>TEXT(Source_data[[#This Row],[Listing_Date]],"mmm-yy")</f>
        <v>Apr-24</v>
      </c>
      <c r="N587" s="4">
        <f t="shared" si="9"/>
        <v>13613.853276353277</v>
      </c>
      <c r="O587" s="3" cm="1">
        <f t="array" ref="O587">_xlfn.IFS(AND(K587="Broker",J587="Resale"),F587*0.5,AND(K587="Owner",J587="Resale"),F587*0,AND(K587="Builder",J587="Resale"),F587*0.3,AND(J587="New",K587="Broker"),F587*0.1,AND(J587="New",K587="Owner"),F587*0,AND(J587="New",K587="Builder"),F587*0.5)</f>
        <v>0</v>
      </c>
    </row>
    <row r="588" spans="1:15" x14ac:dyDescent="0.3">
      <c r="A588" s="8" t="s">
        <v>637</v>
      </c>
      <c r="B588" s="4" t="s">
        <v>487</v>
      </c>
      <c r="C588" s="4" t="s">
        <v>495</v>
      </c>
      <c r="D588" s="4">
        <v>2</v>
      </c>
      <c r="E588" s="4">
        <v>1822</v>
      </c>
      <c r="F588" s="4">
        <v>21532562</v>
      </c>
      <c r="G588" s="4">
        <v>2</v>
      </c>
      <c r="H588" s="4">
        <v>0</v>
      </c>
      <c r="I588" s="4" t="s">
        <v>27</v>
      </c>
      <c r="J588" s="4" t="s">
        <v>23</v>
      </c>
      <c r="K588" s="4" t="s">
        <v>20</v>
      </c>
      <c r="L588" s="9">
        <v>45011</v>
      </c>
      <c r="M588" s="9" t="str">
        <f>TEXT(Source_data[[#This Row],[Listing_Date]],"mmm-yy")</f>
        <v>Mar-23</v>
      </c>
      <c r="N588" s="4">
        <f t="shared" si="9"/>
        <v>11818.09110867179</v>
      </c>
      <c r="O588" s="3" cm="1">
        <f t="array" ref="O588">_xlfn.IFS(AND(K588="Broker",J588="Resale"),F588*0.5,AND(K588="Owner",J588="Resale"),F588*0,AND(K588="Builder",J588="Resale"),F588*0.3,AND(J588="New",K588="Broker"),F588*0.1,AND(J588="New",K588="Owner"),F588*0,AND(J588="New",K588="Builder"),F588*0.5)</f>
        <v>10766281</v>
      </c>
    </row>
    <row r="589" spans="1:15" x14ac:dyDescent="0.3">
      <c r="A589" s="8" t="s">
        <v>638</v>
      </c>
      <c r="B589" s="4" t="s">
        <v>487</v>
      </c>
      <c r="C589" s="4" t="s">
        <v>488</v>
      </c>
      <c r="D589" s="4">
        <v>4</v>
      </c>
      <c r="E589" s="4">
        <v>922</v>
      </c>
      <c r="F589" s="4">
        <v>11934885</v>
      </c>
      <c r="G589" s="4">
        <v>3</v>
      </c>
      <c r="H589" s="4">
        <v>3</v>
      </c>
      <c r="I589" s="4" t="s">
        <v>27</v>
      </c>
      <c r="J589" s="4" t="s">
        <v>23</v>
      </c>
      <c r="K589" s="4" t="s">
        <v>24</v>
      </c>
      <c r="L589" s="9">
        <v>45198</v>
      </c>
      <c r="M589" s="9" t="str">
        <f>TEXT(Source_data[[#This Row],[Listing_Date]],"mmm-yy")</f>
        <v>Sep-23</v>
      </c>
      <c r="N589" s="4">
        <f t="shared" si="9"/>
        <v>12944.560737527116</v>
      </c>
      <c r="O589" s="3" cm="1">
        <f t="array" ref="O589">_xlfn.IFS(AND(K589="Broker",J589="Resale"),F589*0.5,AND(K589="Owner",J589="Resale"),F589*0,AND(K589="Builder",J589="Resale"),F589*0.3,AND(J589="New",K589="Broker"),F589*0.1,AND(J589="New",K589="Owner"),F589*0,AND(J589="New",K589="Builder"),F589*0.5)</f>
        <v>3580465.5</v>
      </c>
    </row>
    <row r="590" spans="1:15" x14ac:dyDescent="0.3">
      <c r="A590" s="8" t="s">
        <v>639</v>
      </c>
      <c r="B590" s="4" t="s">
        <v>487</v>
      </c>
      <c r="C590" s="4" t="s">
        <v>490</v>
      </c>
      <c r="D590" s="4">
        <v>3</v>
      </c>
      <c r="E590" s="4">
        <v>1428</v>
      </c>
      <c r="F590" s="4">
        <v>21702149</v>
      </c>
      <c r="G590" s="4">
        <v>2</v>
      </c>
      <c r="H590" s="4">
        <v>2</v>
      </c>
      <c r="I590" s="4" t="s">
        <v>27</v>
      </c>
      <c r="J590" s="4" t="s">
        <v>19</v>
      </c>
      <c r="K590" s="4" t="s">
        <v>20</v>
      </c>
      <c r="L590" s="9">
        <v>45698</v>
      </c>
      <c r="M590" s="9" t="str">
        <f>TEXT(Source_data[[#This Row],[Listing_Date]],"mmm-yy")</f>
        <v>Feb-25</v>
      </c>
      <c r="N590" s="4">
        <f t="shared" si="9"/>
        <v>15197.583333333334</v>
      </c>
      <c r="O590" s="3" cm="1">
        <f t="array" ref="O590">_xlfn.IFS(AND(K590="Broker",J590="Resale"),F590*0.5,AND(K590="Owner",J590="Resale"),F590*0,AND(K590="Builder",J590="Resale"),F590*0.3,AND(J590="New",K590="Broker"),F590*0.1,AND(J590="New",K590="Owner"),F590*0,AND(J590="New",K590="Builder"),F590*0.5)</f>
        <v>2170214.9</v>
      </c>
    </row>
    <row r="591" spans="1:15" x14ac:dyDescent="0.3">
      <c r="A591" s="8" t="s">
        <v>640</v>
      </c>
      <c r="B591" s="4" t="s">
        <v>487</v>
      </c>
      <c r="C591" s="4" t="s">
        <v>490</v>
      </c>
      <c r="D591" s="4">
        <v>3</v>
      </c>
      <c r="E591" s="4">
        <v>958</v>
      </c>
      <c r="F591" s="4">
        <v>12339429</v>
      </c>
      <c r="G591" s="4">
        <v>2</v>
      </c>
      <c r="H591" s="4">
        <v>0</v>
      </c>
      <c r="I591" s="4" t="s">
        <v>67</v>
      </c>
      <c r="J591" s="4" t="s">
        <v>23</v>
      </c>
      <c r="K591" s="4" t="s">
        <v>20</v>
      </c>
      <c r="L591" s="9">
        <v>45707</v>
      </c>
      <c r="M591" s="9" t="str">
        <f>TEXT(Source_data[[#This Row],[Listing_Date]],"mmm-yy")</f>
        <v>Feb-25</v>
      </c>
      <c r="N591" s="4">
        <f t="shared" si="9"/>
        <v>12880.406054279749</v>
      </c>
      <c r="O591" s="3" cm="1">
        <f t="array" ref="O591">_xlfn.IFS(AND(K591="Broker",J591="Resale"),F591*0.5,AND(K591="Owner",J591="Resale"),F591*0,AND(K591="Builder",J591="Resale"),F591*0.3,AND(J591="New",K591="Broker"),F591*0.1,AND(J591="New",K591="Owner"),F591*0,AND(J591="New",K591="Builder"),F591*0.5)</f>
        <v>6169714.5</v>
      </c>
    </row>
    <row r="592" spans="1:15" x14ac:dyDescent="0.3">
      <c r="A592" s="8" t="s">
        <v>641</v>
      </c>
      <c r="B592" s="4" t="s">
        <v>487</v>
      </c>
      <c r="C592" s="4" t="s">
        <v>490</v>
      </c>
      <c r="D592" s="4">
        <v>4</v>
      </c>
      <c r="E592" s="4">
        <v>2114</v>
      </c>
      <c r="F592" s="4">
        <v>27636378</v>
      </c>
      <c r="G592" s="4">
        <v>3</v>
      </c>
      <c r="H592" s="4">
        <v>2</v>
      </c>
      <c r="I592" s="4" t="s">
        <v>18</v>
      </c>
      <c r="J592" s="4" t="s">
        <v>19</v>
      </c>
      <c r="K592" s="4" t="s">
        <v>36</v>
      </c>
      <c r="L592" s="9">
        <v>45377</v>
      </c>
      <c r="M592" s="9" t="str">
        <f>TEXT(Source_data[[#This Row],[Listing_Date]],"mmm-yy")</f>
        <v>Mar-24</v>
      </c>
      <c r="N592" s="4">
        <f t="shared" si="9"/>
        <v>13073.026490066226</v>
      </c>
      <c r="O592" s="3" cm="1">
        <f t="array" ref="O592">_xlfn.IFS(AND(K592="Broker",J592="Resale"),F592*0.5,AND(K592="Owner",J592="Resale"),F592*0,AND(K592="Builder",J592="Resale"),F592*0.3,AND(J592="New",K592="Broker"),F592*0.1,AND(J592="New",K592="Owner"),F592*0,AND(J592="New",K592="Builder"),F592*0.5)</f>
        <v>0</v>
      </c>
    </row>
    <row r="593" spans="1:15" x14ac:dyDescent="0.3">
      <c r="A593" s="8" t="s">
        <v>642</v>
      </c>
      <c r="B593" s="4" t="s">
        <v>487</v>
      </c>
      <c r="C593" s="4" t="s">
        <v>498</v>
      </c>
      <c r="D593" s="4">
        <v>2</v>
      </c>
      <c r="E593" s="4">
        <v>1110</v>
      </c>
      <c r="F593" s="4">
        <v>15137452</v>
      </c>
      <c r="G593" s="4">
        <v>1</v>
      </c>
      <c r="H593" s="4">
        <v>2</v>
      </c>
      <c r="I593" s="4" t="s">
        <v>18</v>
      </c>
      <c r="J593" s="4" t="s">
        <v>23</v>
      </c>
      <c r="K593" s="4" t="s">
        <v>20</v>
      </c>
      <c r="L593" s="9">
        <v>45132</v>
      </c>
      <c r="M593" s="9" t="str">
        <f>TEXT(Source_data[[#This Row],[Listing_Date]],"mmm-yy")</f>
        <v>Jul-23</v>
      </c>
      <c r="N593" s="4">
        <f t="shared" si="9"/>
        <v>13637.344144144145</v>
      </c>
      <c r="O593" s="3" cm="1">
        <f t="array" ref="O593">_xlfn.IFS(AND(K593="Broker",J593="Resale"),F593*0.5,AND(K593="Owner",J593="Resale"),F593*0,AND(K593="Builder",J593="Resale"),F593*0.3,AND(J593="New",K593="Broker"),F593*0.1,AND(J593="New",K593="Owner"),F593*0,AND(J593="New",K593="Builder"),F593*0.5)</f>
        <v>7568726</v>
      </c>
    </row>
    <row r="594" spans="1:15" x14ac:dyDescent="0.3">
      <c r="A594" s="8" t="s">
        <v>643</v>
      </c>
      <c r="B594" s="4" t="s">
        <v>487</v>
      </c>
      <c r="C594" s="4" t="s">
        <v>501</v>
      </c>
      <c r="D594" s="4">
        <v>2</v>
      </c>
      <c r="E594" s="4">
        <v>899</v>
      </c>
      <c r="F594" s="4">
        <v>12189988</v>
      </c>
      <c r="G594" s="4">
        <v>2</v>
      </c>
      <c r="H594" s="4">
        <v>3</v>
      </c>
      <c r="I594" s="4" t="s">
        <v>27</v>
      </c>
      <c r="J594" s="4" t="s">
        <v>19</v>
      </c>
      <c r="K594" s="4" t="s">
        <v>24</v>
      </c>
      <c r="L594" s="9">
        <v>45018</v>
      </c>
      <c r="M594" s="9" t="str">
        <f>TEXT(Source_data[[#This Row],[Listing_Date]],"mmm-yy")</f>
        <v>Apr-23</v>
      </c>
      <c r="N594" s="4">
        <f t="shared" si="9"/>
        <v>13559.497219132369</v>
      </c>
      <c r="O594" s="3" cm="1">
        <f t="array" ref="O594">_xlfn.IFS(AND(K594="Broker",J594="Resale"),F594*0.5,AND(K594="Owner",J594="Resale"),F594*0,AND(K594="Builder",J594="Resale"),F594*0.3,AND(J594="New",K594="Broker"),F594*0.1,AND(J594="New",K594="Owner"),F594*0,AND(J594="New",K594="Builder"),F594*0.5)</f>
        <v>6094994</v>
      </c>
    </row>
    <row r="595" spans="1:15" x14ac:dyDescent="0.3">
      <c r="A595" s="8" t="s">
        <v>644</v>
      </c>
      <c r="B595" s="4" t="s">
        <v>487</v>
      </c>
      <c r="C595" s="4" t="s">
        <v>498</v>
      </c>
      <c r="D595" s="4">
        <v>3</v>
      </c>
      <c r="E595" s="4">
        <v>2044</v>
      </c>
      <c r="F595" s="4">
        <v>29955403</v>
      </c>
      <c r="G595" s="4">
        <v>2</v>
      </c>
      <c r="H595" s="4">
        <v>1</v>
      </c>
      <c r="I595" s="4" t="s">
        <v>8</v>
      </c>
      <c r="J595" s="4" t="s">
        <v>19</v>
      </c>
      <c r="K595" s="4" t="s">
        <v>36</v>
      </c>
      <c r="L595" s="9">
        <v>45444</v>
      </c>
      <c r="M595" s="9" t="str">
        <f>TEXT(Source_data[[#This Row],[Listing_Date]],"mmm-yy")</f>
        <v>Jun-24</v>
      </c>
      <c r="N595" s="4">
        <f t="shared" si="9"/>
        <v>14655.285225048923</v>
      </c>
      <c r="O595" s="3" cm="1">
        <f t="array" ref="O595">_xlfn.IFS(AND(K595="Broker",J595="Resale"),F595*0.5,AND(K595="Owner",J595="Resale"),F595*0,AND(K595="Builder",J595="Resale"),F595*0.3,AND(J595="New",K595="Broker"),F595*0.1,AND(J595="New",K595="Owner"),F595*0,AND(J595="New",K595="Builder"),F595*0.5)</f>
        <v>0</v>
      </c>
    </row>
    <row r="596" spans="1:15" x14ac:dyDescent="0.3">
      <c r="A596" s="8" t="s">
        <v>645</v>
      </c>
      <c r="B596" s="4" t="s">
        <v>487</v>
      </c>
      <c r="C596" s="4" t="s">
        <v>498</v>
      </c>
      <c r="D596" s="4">
        <v>3</v>
      </c>
      <c r="E596" s="4">
        <v>1603</v>
      </c>
      <c r="F596" s="4">
        <v>22729606</v>
      </c>
      <c r="G596" s="4">
        <v>3</v>
      </c>
      <c r="H596" s="4">
        <v>1</v>
      </c>
      <c r="I596" s="4" t="s">
        <v>18</v>
      </c>
      <c r="J596" s="4" t="s">
        <v>19</v>
      </c>
      <c r="K596" s="4" t="s">
        <v>20</v>
      </c>
      <c r="L596" s="9">
        <v>45819</v>
      </c>
      <c r="M596" s="9" t="str">
        <f>TEXT(Source_data[[#This Row],[Listing_Date]],"mmm-yy")</f>
        <v>Jun-25</v>
      </c>
      <c r="N596" s="4">
        <f t="shared" si="9"/>
        <v>14179.417342482844</v>
      </c>
      <c r="O596" s="3" cm="1">
        <f t="array" ref="O596">_xlfn.IFS(AND(K596="Broker",J596="Resale"),F596*0.5,AND(K596="Owner",J596="Resale"),F596*0,AND(K596="Builder",J596="Resale"),F596*0.3,AND(J596="New",K596="Broker"),F596*0.1,AND(J596="New",K596="Owner"),F596*0,AND(J596="New",K596="Builder"),F596*0.5)</f>
        <v>2272960.6</v>
      </c>
    </row>
    <row r="597" spans="1:15" x14ac:dyDescent="0.3">
      <c r="A597" s="8" t="s">
        <v>646</v>
      </c>
      <c r="B597" s="4" t="s">
        <v>487</v>
      </c>
      <c r="C597" s="4" t="s">
        <v>495</v>
      </c>
      <c r="D597" s="4">
        <v>2</v>
      </c>
      <c r="E597" s="4">
        <v>1101</v>
      </c>
      <c r="F597" s="4">
        <v>13570465</v>
      </c>
      <c r="G597" s="4">
        <v>2</v>
      </c>
      <c r="H597" s="4">
        <v>3</v>
      </c>
      <c r="I597" s="4" t="s">
        <v>8</v>
      </c>
      <c r="J597" s="4" t="s">
        <v>23</v>
      </c>
      <c r="K597" s="4" t="s">
        <v>36</v>
      </c>
      <c r="L597" s="9">
        <v>44975</v>
      </c>
      <c r="M597" s="9" t="str">
        <f>TEXT(Source_data[[#This Row],[Listing_Date]],"mmm-yy")</f>
        <v>Feb-23</v>
      </c>
      <c r="N597" s="4">
        <f t="shared" si="9"/>
        <v>12325.581289736603</v>
      </c>
      <c r="O597" s="3" cm="1">
        <f t="array" ref="O597">_xlfn.IFS(AND(K597="Broker",J597="Resale"),F597*0.5,AND(K597="Owner",J597="Resale"),F597*0,AND(K597="Builder",J597="Resale"),F597*0.3,AND(J597="New",K597="Broker"),F597*0.1,AND(J597="New",K597="Owner"),F597*0,AND(J597="New",K597="Builder"),F597*0.5)</f>
        <v>0</v>
      </c>
    </row>
    <row r="598" spans="1:15" x14ac:dyDescent="0.3">
      <c r="A598" s="8" t="s">
        <v>647</v>
      </c>
      <c r="B598" s="4" t="s">
        <v>487</v>
      </c>
      <c r="C598" s="4" t="s">
        <v>495</v>
      </c>
      <c r="D598" s="4">
        <v>1</v>
      </c>
      <c r="E598" s="4">
        <v>490</v>
      </c>
      <c r="F598" s="4">
        <v>5884275</v>
      </c>
      <c r="G598" s="4">
        <v>2</v>
      </c>
      <c r="H598" s="4">
        <v>3</v>
      </c>
      <c r="I598" s="4" t="s">
        <v>8</v>
      </c>
      <c r="J598" s="4" t="s">
        <v>23</v>
      </c>
      <c r="K598" s="4" t="s">
        <v>20</v>
      </c>
      <c r="L598" s="9">
        <v>45325</v>
      </c>
      <c r="M598" s="9" t="str">
        <f>TEXT(Source_data[[#This Row],[Listing_Date]],"mmm-yy")</f>
        <v>Feb-24</v>
      </c>
      <c r="N598" s="4">
        <f t="shared" si="9"/>
        <v>12008.724489795919</v>
      </c>
      <c r="O598" s="3" cm="1">
        <f t="array" ref="O598">_xlfn.IFS(AND(K598="Broker",J598="Resale"),F598*0.5,AND(K598="Owner",J598="Resale"),F598*0,AND(K598="Builder",J598="Resale"),F598*0.3,AND(J598="New",K598="Broker"),F598*0.1,AND(J598="New",K598="Owner"),F598*0,AND(J598="New",K598="Builder"),F598*0.5)</f>
        <v>2942137.5</v>
      </c>
    </row>
    <row r="599" spans="1:15" x14ac:dyDescent="0.3">
      <c r="A599" s="8" t="s">
        <v>648</v>
      </c>
      <c r="B599" s="4" t="s">
        <v>487</v>
      </c>
      <c r="C599" s="4" t="s">
        <v>492</v>
      </c>
      <c r="D599" s="4">
        <v>2</v>
      </c>
      <c r="E599" s="4">
        <v>1149</v>
      </c>
      <c r="F599" s="4">
        <v>17593818</v>
      </c>
      <c r="G599" s="4">
        <v>2</v>
      </c>
      <c r="H599" s="4">
        <v>2</v>
      </c>
      <c r="I599" s="4" t="s">
        <v>8</v>
      </c>
      <c r="J599" s="4" t="s">
        <v>23</v>
      </c>
      <c r="K599" s="4" t="s">
        <v>36</v>
      </c>
      <c r="L599" s="9">
        <v>45563</v>
      </c>
      <c r="M599" s="9" t="str">
        <f>TEXT(Source_data[[#This Row],[Listing_Date]],"mmm-yy")</f>
        <v>Sep-24</v>
      </c>
      <c r="N599" s="4">
        <f t="shared" si="9"/>
        <v>15312.287206266319</v>
      </c>
      <c r="O599" s="3" cm="1">
        <f t="array" ref="O599">_xlfn.IFS(AND(K599="Broker",J599="Resale"),F599*0.5,AND(K599="Owner",J599="Resale"),F599*0,AND(K599="Builder",J599="Resale"),F599*0.3,AND(J599="New",K599="Broker"),F599*0.1,AND(J599="New",K599="Owner"),F599*0,AND(J599="New",K599="Builder"),F599*0.5)</f>
        <v>0</v>
      </c>
    </row>
    <row r="600" spans="1:15" x14ac:dyDescent="0.3">
      <c r="A600" s="8" t="s">
        <v>649</v>
      </c>
      <c r="B600" s="4" t="s">
        <v>487</v>
      </c>
      <c r="C600" s="4" t="s">
        <v>495</v>
      </c>
      <c r="D600" s="4">
        <v>1</v>
      </c>
      <c r="E600" s="4">
        <v>750</v>
      </c>
      <c r="F600" s="4">
        <v>8737098</v>
      </c>
      <c r="G600" s="4">
        <v>1</v>
      </c>
      <c r="H600" s="4">
        <v>2</v>
      </c>
      <c r="I600" s="4" t="s">
        <v>18</v>
      </c>
      <c r="J600" s="4" t="s">
        <v>19</v>
      </c>
      <c r="K600" s="4" t="s">
        <v>36</v>
      </c>
      <c r="L600" s="9">
        <v>45612</v>
      </c>
      <c r="M600" s="9" t="str">
        <f>TEXT(Source_data[[#This Row],[Listing_Date]],"mmm-yy")</f>
        <v>Nov-24</v>
      </c>
      <c r="N600" s="4">
        <f t="shared" si="9"/>
        <v>11649.464</v>
      </c>
      <c r="O600" s="3" cm="1">
        <f t="array" ref="O600">_xlfn.IFS(AND(K600="Broker",J600="Resale"),F600*0.5,AND(K600="Owner",J600="Resale"),F600*0,AND(K600="Builder",J600="Resale"),F600*0.3,AND(J600="New",K600="Broker"),F600*0.1,AND(J600="New",K600="Owner"),F600*0,AND(J600="New",K600="Builder"),F600*0.5)</f>
        <v>0</v>
      </c>
    </row>
    <row r="601" spans="1:15" x14ac:dyDescent="0.3">
      <c r="A601" s="8" t="s">
        <v>650</v>
      </c>
      <c r="B601" s="4" t="s">
        <v>487</v>
      </c>
      <c r="C601" s="4" t="s">
        <v>488</v>
      </c>
      <c r="D601" s="4">
        <v>2</v>
      </c>
      <c r="E601" s="4">
        <v>821</v>
      </c>
      <c r="F601" s="4">
        <v>11898333</v>
      </c>
      <c r="G601" s="4">
        <v>2</v>
      </c>
      <c r="H601" s="4">
        <v>2</v>
      </c>
      <c r="I601" s="4" t="s">
        <v>27</v>
      </c>
      <c r="J601" s="4" t="s">
        <v>19</v>
      </c>
      <c r="K601" s="4" t="s">
        <v>20</v>
      </c>
      <c r="L601" s="9">
        <v>45299</v>
      </c>
      <c r="M601" s="9" t="str">
        <f>TEXT(Source_data[[#This Row],[Listing_Date]],"mmm-yy")</f>
        <v>Jan-24</v>
      </c>
      <c r="N601" s="4">
        <f t="shared" si="9"/>
        <v>14492.488428745432</v>
      </c>
      <c r="O601" s="3" cm="1">
        <f t="array" ref="O601">_xlfn.IFS(AND(K601="Broker",J601="Resale"),F601*0.5,AND(K601="Owner",J601="Resale"),F601*0,AND(K601="Builder",J601="Resale"),F601*0.3,AND(J601="New",K601="Broker"),F601*0.1,AND(J601="New",K601="Owner"),F601*0,AND(J601="New",K601="Builder"),F601*0.5)</f>
        <v>1189833.3</v>
      </c>
    </row>
    <row r="602" spans="1:15" x14ac:dyDescent="0.3">
      <c r="A602" s="8" t="s">
        <v>651</v>
      </c>
      <c r="B602" s="4" t="s">
        <v>487</v>
      </c>
      <c r="C602" s="4" t="s">
        <v>492</v>
      </c>
      <c r="D602" s="4">
        <v>2</v>
      </c>
      <c r="E602" s="4">
        <v>1186</v>
      </c>
      <c r="F602" s="4">
        <v>10619416</v>
      </c>
      <c r="G602" s="4">
        <v>1</v>
      </c>
      <c r="H602" s="4">
        <v>3</v>
      </c>
      <c r="I602" s="4" t="s">
        <v>27</v>
      </c>
      <c r="J602" s="4" t="s">
        <v>19</v>
      </c>
      <c r="K602" s="4" t="s">
        <v>36</v>
      </c>
      <c r="L602" s="9">
        <v>44931</v>
      </c>
      <c r="M602" s="9" t="str">
        <f>TEXT(Source_data[[#This Row],[Listing_Date]],"mmm-yy")</f>
        <v>Jan-23</v>
      </c>
      <c r="N602" s="4">
        <f t="shared" si="9"/>
        <v>8953.9763912310282</v>
      </c>
      <c r="O602" s="3" cm="1">
        <f t="array" ref="O602">_xlfn.IFS(AND(K602="Broker",J602="Resale"),F602*0.5,AND(K602="Owner",J602="Resale"),F602*0,AND(K602="Builder",J602="Resale"),F602*0.3,AND(J602="New",K602="Broker"),F602*0.1,AND(J602="New",K602="Owner"),F602*0,AND(J602="New",K602="Builder"),F602*0.5)</f>
        <v>0</v>
      </c>
    </row>
    <row r="603" spans="1:15" x14ac:dyDescent="0.3">
      <c r="A603" s="8" t="s">
        <v>652</v>
      </c>
      <c r="B603" s="4" t="s">
        <v>487</v>
      </c>
      <c r="C603" s="4" t="s">
        <v>498</v>
      </c>
      <c r="D603" s="4">
        <v>2</v>
      </c>
      <c r="E603" s="4">
        <v>1195</v>
      </c>
      <c r="F603" s="4">
        <v>15163543</v>
      </c>
      <c r="G603" s="4">
        <v>2</v>
      </c>
      <c r="H603" s="4">
        <v>2</v>
      </c>
      <c r="I603" s="4" t="s">
        <v>18</v>
      </c>
      <c r="J603" s="4" t="s">
        <v>23</v>
      </c>
      <c r="K603" s="4" t="s">
        <v>20</v>
      </c>
      <c r="L603" s="9">
        <v>45538</v>
      </c>
      <c r="M603" s="9" t="str">
        <f>TEXT(Source_data[[#This Row],[Listing_Date]],"mmm-yy")</f>
        <v>Sep-24</v>
      </c>
      <c r="N603" s="4">
        <f t="shared" si="9"/>
        <v>12689.157322175732</v>
      </c>
      <c r="O603" s="3" cm="1">
        <f t="array" ref="O603">_xlfn.IFS(AND(K603="Broker",J603="Resale"),F603*0.5,AND(K603="Owner",J603="Resale"),F603*0,AND(K603="Builder",J603="Resale"),F603*0.3,AND(J603="New",K603="Broker"),F603*0.1,AND(J603="New",K603="Owner"),F603*0,AND(J603="New",K603="Builder"),F603*0.5)</f>
        <v>7581771.5</v>
      </c>
    </row>
    <row r="604" spans="1:15" x14ac:dyDescent="0.3">
      <c r="A604" s="8" t="s">
        <v>653</v>
      </c>
      <c r="B604" s="4" t="s">
        <v>487</v>
      </c>
      <c r="C604" s="4" t="s">
        <v>488</v>
      </c>
      <c r="D604" s="4">
        <v>3</v>
      </c>
      <c r="E604" s="4">
        <v>1122</v>
      </c>
      <c r="F604" s="4">
        <v>12524141</v>
      </c>
      <c r="G604" s="4">
        <v>3</v>
      </c>
      <c r="H604" s="4">
        <v>2</v>
      </c>
      <c r="I604" s="4" t="s">
        <v>18</v>
      </c>
      <c r="J604" s="4" t="s">
        <v>19</v>
      </c>
      <c r="K604" s="4" t="s">
        <v>36</v>
      </c>
      <c r="L604" s="9">
        <v>45807</v>
      </c>
      <c r="M604" s="9" t="str">
        <f>TEXT(Source_data[[#This Row],[Listing_Date]],"mmm-yy")</f>
        <v>May-25</v>
      </c>
      <c r="N604" s="4">
        <f t="shared" si="9"/>
        <v>11162.336007130125</v>
      </c>
      <c r="O604" s="3" cm="1">
        <f t="array" ref="O604">_xlfn.IFS(AND(K604="Broker",J604="Resale"),F604*0.5,AND(K604="Owner",J604="Resale"),F604*0,AND(K604="Builder",J604="Resale"),F604*0.3,AND(J604="New",K604="Broker"),F604*0.1,AND(J604="New",K604="Owner"),F604*0,AND(J604="New",K604="Builder"),F604*0.5)</f>
        <v>0</v>
      </c>
    </row>
    <row r="605" spans="1:15" x14ac:dyDescent="0.3">
      <c r="A605" s="8" t="s">
        <v>654</v>
      </c>
      <c r="B605" s="4" t="s">
        <v>487</v>
      </c>
      <c r="C605" s="4" t="s">
        <v>490</v>
      </c>
      <c r="D605" s="4">
        <v>1</v>
      </c>
      <c r="E605" s="4">
        <v>475</v>
      </c>
      <c r="F605" s="4">
        <v>5512240</v>
      </c>
      <c r="G605" s="4">
        <v>1</v>
      </c>
      <c r="H605" s="4">
        <v>0</v>
      </c>
      <c r="I605" s="4" t="s">
        <v>27</v>
      </c>
      <c r="J605" s="4" t="s">
        <v>19</v>
      </c>
      <c r="K605" s="4" t="s">
        <v>36</v>
      </c>
      <c r="L605" s="9">
        <v>45153</v>
      </c>
      <c r="M605" s="9" t="str">
        <f>TEXT(Source_data[[#This Row],[Listing_Date]],"mmm-yy")</f>
        <v>Aug-23</v>
      </c>
      <c r="N605" s="4">
        <f t="shared" si="9"/>
        <v>11604.715789473685</v>
      </c>
      <c r="O605" s="3" cm="1">
        <f t="array" ref="O605">_xlfn.IFS(AND(K605="Broker",J605="Resale"),F605*0.5,AND(K605="Owner",J605="Resale"),F605*0,AND(K605="Builder",J605="Resale"),F605*0.3,AND(J605="New",K605="Broker"),F605*0.1,AND(J605="New",K605="Owner"),F605*0,AND(J605="New",K605="Builder"),F605*0.5)</f>
        <v>0</v>
      </c>
    </row>
    <row r="606" spans="1:15" x14ac:dyDescent="0.3">
      <c r="A606" s="8" t="s">
        <v>655</v>
      </c>
      <c r="B606" s="4" t="s">
        <v>487</v>
      </c>
      <c r="C606" s="4" t="s">
        <v>488</v>
      </c>
      <c r="D606" s="4">
        <v>3</v>
      </c>
      <c r="E606" s="4">
        <v>1403</v>
      </c>
      <c r="F606" s="4">
        <v>15620699</v>
      </c>
      <c r="G606" s="4">
        <v>2</v>
      </c>
      <c r="H606" s="4">
        <v>2</v>
      </c>
      <c r="I606" s="4" t="s">
        <v>27</v>
      </c>
      <c r="J606" s="4" t="s">
        <v>19</v>
      </c>
      <c r="K606" s="4" t="s">
        <v>24</v>
      </c>
      <c r="L606" s="9">
        <v>45210</v>
      </c>
      <c r="M606" s="9" t="str">
        <f>TEXT(Source_data[[#This Row],[Listing_Date]],"mmm-yy")</f>
        <v>Oct-23</v>
      </c>
      <c r="N606" s="4">
        <f t="shared" si="9"/>
        <v>11133.784034212402</v>
      </c>
      <c r="O606" s="3" cm="1">
        <f t="array" ref="O606">_xlfn.IFS(AND(K606="Broker",J606="Resale"),F606*0.5,AND(K606="Owner",J606="Resale"),F606*0,AND(K606="Builder",J606="Resale"),F606*0.3,AND(J606="New",K606="Broker"),F606*0.1,AND(J606="New",K606="Owner"),F606*0,AND(J606="New",K606="Builder"),F606*0.5)</f>
        <v>7810349.5</v>
      </c>
    </row>
    <row r="607" spans="1:15" x14ac:dyDescent="0.3">
      <c r="A607" s="8" t="s">
        <v>656</v>
      </c>
      <c r="B607" s="4" t="s">
        <v>487</v>
      </c>
      <c r="C607" s="4" t="s">
        <v>492</v>
      </c>
      <c r="D607" s="4">
        <v>5</v>
      </c>
      <c r="E607" s="4">
        <v>1939</v>
      </c>
      <c r="F607" s="4">
        <v>19075085</v>
      </c>
      <c r="G607" s="4">
        <v>3</v>
      </c>
      <c r="H607" s="4">
        <v>1</v>
      </c>
      <c r="I607" s="4" t="s">
        <v>8</v>
      </c>
      <c r="J607" s="4" t="s">
        <v>23</v>
      </c>
      <c r="K607" s="4" t="s">
        <v>36</v>
      </c>
      <c r="L607" s="9">
        <v>45047</v>
      </c>
      <c r="M607" s="9" t="str">
        <f>TEXT(Source_data[[#This Row],[Listing_Date]],"mmm-yy")</f>
        <v>May-23</v>
      </c>
      <c r="N607" s="4">
        <f t="shared" si="9"/>
        <v>9837.5889633831866</v>
      </c>
      <c r="O607" s="3" cm="1">
        <f t="array" ref="O607">_xlfn.IFS(AND(K607="Broker",J607="Resale"),F607*0.5,AND(K607="Owner",J607="Resale"),F607*0,AND(K607="Builder",J607="Resale"),F607*0.3,AND(J607="New",K607="Broker"),F607*0.1,AND(J607="New",K607="Owner"),F607*0,AND(J607="New",K607="Builder"),F607*0.5)</f>
        <v>0</v>
      </c>
    </row>
    <row r="608" spans="1:15" x14ac:dyDescent="0.3">
      <c r="A608" s="8" t="s">
        <v>657</v>
      </c>
      <c r="B608" s="4" t="s">
        <v>487</v>
      </c>
      <c r="C608" s="4" t="s">
        <v>488</v>
      </c>
      <c r="D608" s="4">
        <v>1</v>
      </c>
      <c r="E608" s="4">
        <v>588</v>
      </c>
      <c r="F608" s="4">
        <v>6121181</v>
      </c>
      <c r="G608" s="4">
        <v>1</v>
      </c>
      <c r="H608" s="4">
        <v>0</v>
      </c>
      <c r="I608" s="4" t="s">
        <v>27</v>
      </c>
      <c r="J608" s="4" t="s">
        <v>19</v>
      </c>
      <c r="K608" s="4" t="s">
        <v>20</v>
      </c>
      <c r="L608" s="9">
        <v>45122</v>
      </c>
      <c r="M608" s="9" t="str">
        <f>TEXT(Source_data[[#This Row],[Listing_Date]],"mmm-yy")</f>
        <v>Jul-23</v>
      </c>
      <c r="N608" s="4">
        <f t="shared" si="9"/>
        <v>10410.171768707483</v>
      </c>
      <c r="O608" s="3" cm="1">
        <f t="array" ref="O608">_xlfn.IFS(AND(K608="Broker",J608="Resale"),F608*0.5,AND(K608="Owner",J608="Resale"),F608*0,AND(K608="Builder",J608="Resale"),F608*0.3,AND(J608="New",K608="Broker"),F608*0.1,AND(J608="New",K608="Owner"),F608*0,AND(J608="New",K608="Builder"),F608*0.5)</f>
        <v>612118.1</v>
      </c>
    </row>
    <row r="609" spans="1:15" x14ac:dyDescent="0.3">
      <c r="A609" s="8" t="s">
        <v>658</v>
      </c>
      <c r="B609" s="4" t="s">
        <v>487</v>
      </c>
      <c r="C609" s="4" t="s">
        <v>501</v>
      </c>
      <c r="D609" s="4">
        <v>3</v>
      </c>
      <c r="E609" s="4">
        <v>1954</v>
      </c>
      <c r="F609" s="4">
        <v>26538185</v>
      </c>
      <c r="G609" s="4">
        <v>4</v>
      </c>
      <c r="H609" s="4">
        <v>2</v>
      </c>
      <c r="I609" s="4" t="s">
        <v>8</v>
      </c>
      <c r="J609" s="4" t="s">
        <v>19</v>
      </c>
      <c r="K609" s="4" t="s">
        <v>36</v>
      </c>
      <c r="L609" s="9">
        <v>45785</v>
      </c>
      <c r="M609" s="9" t="str">
        <f>TEXT(Source_data[[#This Row],[Listing_Date]],"mmm-yy")</f>
        <v>May-25</v>
      </c>
      <c r="N609" s="4">
        <f t="shared" si="9"/>
        <v>13581.466223132036</v>
      </c>
      <c r="O609" s="3" cm="1">
        <f t="array" ref="O609">_xlfn.IFS(AND(K609="Broker",J609="Resale"),F609*0.5,AND(K609="Owner",J609="Resale"),F609*0,AND(K609="Builder",J609="Resale"),F609*0.3,AND(J609="New",K609="Broker"),F609*0.1,AND(J609="New",K609="Owner"),F609*0,AND(J609="New",K609="Builder"),F609*0.5)</f>
        <v>0</v>
      </c>
    </row>
    <row r="610" spans="1:15" x14ac:dyDescent="0.3">
      <c r="A610" s="8" t="s">
        <v>659</v>
      </c>
      <c r="B610" s="4" t="s">
        <v>487</v>
      </c>
      <c r="C610" s="4" t="s">
        <v>498</v>
      </c>
      <c r="D610" s="4">
        <v>4</v>
      </c>
      <c r="E610" s="4">
        <v>2454</v>
      </c>
      <c r="F610" s="4">
        <v>28811394</v>
      </c>
      <c r="G610" s="4">
        <v>3</v>
      </c>
      <c r="H610" s="4">
        <v>2</v>
      </c>
      <c r="I610" s="4" t="s">
        <v>8</v>
      </c>
      <c r="J610" s="4" t="s">
        <v>19</v>
      </c>
      <c r="K610" s="4" t="s">
        <v>20</v>
      </c>
      <c r="L610" s="9">
        <v>45441</v>
      </c>
      <c r="M610" s="9" t="str">
        <f>TEXT(Source_data[[#This Row],[Listing_Date]],"mmm-yy")</f>
        <v>May-24</v>
      </c>
      <c r="N610" s="4">
        <f t="shared" si="9"/>
        <v>11740.58435207824</v>
      </c>
      <c r="O610" s="3" cm="1">
        <f t="array" ref="O610">_xlfn.IFS(AND(K610="Broker",J610="Resale"),F610*0.5,AND(K610="Owner",J610="Resale"),F610*0,AND(K610="Builder",J610="Resale"),F610*0.3,AND(J610="New",K610="Broker"),F610*0.1,AND(J610="New",K610="Owner"),F610*0,AND(J610="New",K610="Builder"),F610*0.5)</f>
        <v>2881139.4000000004</v>
      </c>
    </row>
    <row r="611" spans="1:15" x14ac:dyDescent="0.3">
      <c r="A611" s="8" t="s">
        <v>660</v>
      </c>
      <c r="B611" s="4" t="s">
        <v>487</v>
      </c>
      <c r="C611" s="4" t="s">
        <v>501</v>
      </c>
      <c r="D611" s="4">
        <v>2</v>
      </c>
      <c r="E611" s="4">
        <v>1091</v>
      </c>
      <c r="F611" s="4">
        <v>8774274</v>
      </c>
      <c r="G611" s="4">
        <v>2</v>
      </c>
      <c r="H611" s="4">
        <v>1</v>
      </c>
      <c r="I611" s="4" t="s">
        <v>8</v>
      </c>
      <c r="J611" s="4" t="s">
        <v>23</v>
      </c>
      <c r="K611" s="4" t="s">
        <v>20</v>
      </c>
      <c r="L611" s="9">
        <v>45079</v>
      </c>
      <c r="M611" s="9" t="str">
        <f>TEXT(Source_data[[#This Row],[Listing_Date]],"mmm-yy")</f>
        <v>Jun-23</v>
      </c>
      <c r="N611" s="4">
        <f t="shared" si="9"/>
        <v>8042.4142988084322</v>
      </c>
      <c r="O611" s="3" cm="1">
        <f t="array" ref="O611">_xlfn.IFS(AND(K611="Broker",J611="Resale"),F611*0.5,AND(K611="Owner",J611="Resale"),F611*0,AND(K611="Builder",J611="Resale"),F611*0.3,AND(J611="New",K611="Broker"),F611*0.1,AND(J611="New",K611="Owner"),F611*0,AND(J611="New",K611="Builder"),F611*0.5)</f>
        <v>4387137</v>
      </c>
    </row>
    <row r="612" spans="1:15" x14ac:dyDescent="0.3">
      <c r="A612" s="8" t="s">
        <v>661</v>
      </c>
      <c r="B612" s="4" t="s">
        <v>487</v>
      </c>
      <c r="C612" s="4" t="s">
        <v>501</v>
      </c>
      <c r="D612" s="4">
        <v>2</v>
      </c>
      <c r="E612" s="4">
        <v>694</v>
      </c>
      <c r="F612" s="4">
        <v>9253332</v>
      </c>
      <c r="G612" s="4">
        <v>1</v>
      </c>
      <c r="H612" s="4">
        <v>2</v>
      </c>
      <c r="I612" s="4" t="s">
        <v>27</v>
      </c>
      <c r="J612" s="4" t="s">
        <v>19</v>
      </c>
      <c r="K612" s="4" t="s">
        <v>24</v>
      </c>
      <c r="L612" s="9">
        <v>45506</v>
      </c>
      <c r="M612" s="9" t="str">
        <f>TEXT(Source_data[[#This Row],[Listing_Date]],"mmm-yy")</f>
        <v>Aug-24</v>
      </c>
      <c r="N612" s="4">
        <f t="shared" si="9"/>
        <v>13333.331412103746</v>
      </c>
      <c r="O612" s="3" cm="1">
        <f t="array" ref="O612">_xlfn.IFS(AND(K612="Broker",J612="Resale"),F612*0.5,AND(K612="Owner",J612="Resale"),F612*0,AND(K612="Builder",J612="Resale"),F612*0.3,AND(J612="New",K612="Broker"),F612*0.1,AND(J612="New",K612="Owner"),F612*0,AND(J612="New",K612="Builder"),F612*0.5)</f>
        <v>4626666</v>
      </c>
    </row>
    <row r="613" spans="1:15" x14ac:dyDescent="0.3">
      <c r="A613" s="8" t="s">
        <v>662</v>
      </c>
      <c r="B613" s="4" t="s">
        <v>487</v>
      </c>
      <c r="C613" s="4" t="s">
        <v>498</v>
      </c>
      <c r="D613" s="4">
        <v>3</v>
      </c>
      <c r="E613" s="4">
        <v>1194</v>
      </c>
      <c r="F613" s="4">
        <v>17632335</v>
      </c>
      <c r="G613" s="4">
        <v>3</v>
      </c>
      <c r="H613" s="4">
        <v>1</v>
      </c>
      <c r="I613" s="4" t="s">
        <v>18</v>
      </c>
      <c r="J613" s="4" t="s">
        <v>23</v>
      </c>
      <c r="K613" s="4" t="s">
        <v>36</v>
      </c>
      <c r="L613" s="9">
        <v>45301</v>
      </c>
      <c r="M613" s="9" t="str">
        <f>TEXT(Source_data[[#This Row],[Listing_Date]],"mmm-yy")</f>
        <v>Jan-24</v>
      </c>
      <c r="N613" s="4">
        <f t="shared" si="9"/>
        <v>14767.449748743718</v>
      </c>
      <c r="O613" s="3" cm="1">
        <f t="array" ref="O613">_xlfn.IFS(AND(K613="Broker",J613="Resale"),F613*0.5,AND(K613="Owner",J613="Resale"),F613*0,AND(K613="Builder",J613="Resale"),F613*0.3,AND(J613="New",K613="Broker"),F613*0.1,AND(J613="New",K613="Owner"),F613*0,AND(J613="New",K613="Builder"),F613*0.5)</f>
        <v>0</v>
      </c>
    </row>
    <row r="614" spans="1:15" x14ac:dyDescent="0.3">
      <c r="A614" s="8" t="s">
        <v>663</v>
      </c>
      <c r="B614" s="4" t="s">
        <v>487</v>
      </c>
      <c r="C614" s="4" t="s">
        <v>490</v>
      </c>
      <c r="D614" s="4">
        <v>3</v>
      </c>
      <c r="E614" s="4">
        <v>1166</v>
      </c>
      <c r="F614" s="4">
        <v>14071554</v>
      </c>
      <c r="G614" s="4">
        <v>2</v>
      </c>
      <c r="H614" s="4">
        <v>3</v>
      </c>
      <c r="I614" s="4" t="s">
        <v>18</v>
      </c>
      <c r="J614" s="4" t="s">
        <v>19</v>
      </c>
      <c r="K614" s="4" t="s">
        <v>36</v>
      </c>
      <c r="L614" s="9">
        <v>45181</v>
      </c>
      <c r="M614" s="9" t="str">
        <f>TEXT(Source_data[[#This Row],[Listing_Date]],"mmm-yy")</f>
        <v>Sep-23</v>
      </c>
      <c r="N614" s="4">
        <f t="shared" si="9"/>
        <v>12068.228130360207</v>
      </c>
      <c r="O614" s="3" cm="1">
        <f t="array" ref="O614">_xlfn.IFS(AND(K614="Broker",J614="Resale"),F614*0.5,AND(K614="Owner",J614="Resale"),F614*0,AND(K614="Builder",J614="Resale"),F614*0.3,AND(J614="New",K614="Broker"),F614*0.1,AND(J614="New",K614="Owner"),F614*0,AND(J614="New",K614="Builder"),F614*0.5)</f>
        <v>0</v>
      </c>
    </row>
    <row r="615" spans="1:15" x14ac:dyDescent="0.3">
      <c r="A615" s="8" t="s">
        <v>664</v>
      </c>
      <c r="B615" s="4" t="s">
        <v>487</v>
      </c>
      <c r="C615" s="4" t="s">
        <v>498</v>
      </c>
      <c r="D615" s="4">
        <v>1</v>
      </c>
      <c r="E615" s="4">
        <v>680</v>
      </c>
      <c r="F615" s="4">
        <v>8789275</v>
      </c>
      <c r="G615" s="4">
        <v>1</v>
      </c>
      <c r="H615" s="4">
        <v>2</v>
      </c>
      <c r="I615" s="4" t="s">
        <v>8</v>
      </c>
      <c r="J615" s="4" t="s">
        <v>19</v>
      </c>
      <c r="K615" s="4" t="s">
        <v>36</v>
      </c>
      <c r="L615" s="9">
        <v>45106</v>
      </c>
      <c r="M615" s="9" t="str">
        <f>TEXT(Source_data[[#This Row],[Listing_Date]],"mmm-yy")</f>
        <v>Jun-23</v>
      </c>
      <c r="N615" s="4">
        <f t="shared" si="9"/>
        <v>12925.404411764706</v>
      </c>
      <c r="O615" s="3" cm="1">
        <f t="array" ref="O615">_xlfn.IFS(AND(K615="Broker",J615="Resale"),F615*0.5,AND(K615="Owner",J615="Resale"),F615*0,AND(K615="Builder",J615="Resale"),F615*0.3,AND(J615="New",K615="Broker"),F615*0.1,AND(J615="New",K615="Owner"),F615*0,AND(J615="New",K615="Builder"),F615*0.5)</f>
        <v>0</v>
      </c>
    </row>
    <row r="616" spans="1:15" x14ac:dyDescent="0.3">
      <c r="A616" s="8" t="s">
        <v>665</v>
      </c>
      <c r="B616" s="4" t="s">
        <v>487</v>
      </c>
      <c r="C616" s="4" t="s">
        <v>488</v>
      </c>
      <c r="D616" s="4">
        <v>2</v>
      </c>
      <c r="E616" s="4">
        <v>793</v>
      </c>
      <c r="F616" s="4">
        <v>9068002</v>
      </c>
      <c r="G616" s="4">
        <v>2</v>
      </c>
      <c r="H616" s="4">
        <v>1</v>
      </c>
      <c r="I616" s="4" t="s">
        <v>27</v>
      </c>
      <c r="J616" s="4" t="s">
        <v>19</v>
      </c>
      <c r="K616" s="4" t="s">
        <v>20</v>
      </c>
      <c r="L616" s="9">
        <v>45235</v>
      </c>
      <c r="M616" s="9" t="str">
        <f>TEXT(Source_data[[#This Row],[Listing_Date]],"mmm-yy")</f>
        <v>Nov-23</v>
      </c>
      <c r="N616" s="4">
        <f t="shared" si="9"/>
        <v>11435.059268600253</v>
      </c>
      <c r="O616" s="3" cm="1">
        <f t="array" ref="O616">_xlfn.IFS(AND(K616="Broker",J616="Resale"),F616*0.5,AND(K616="Owner",J616="Resale"),F616*0,AND(K616="Builder",J616="Resale"),F616*0.3,AND(J616="New",K616="Broker"),F616*0.1,AND(J616="New",K616="Owner"),F616*0,AND(J616="New",K616="Builder"),F616*0.5)</f>
        <v>906800.20000000007</v>
      </c>
    </row>
    <row r="617" spans="1:15" x14ac:dyDescent="0.3">
      <c r="A617" s="8" t="s">
        <v>666</v>
      </c>
      <c r="B617" s="4" t="s">
        <v>487</v>
      </c>
      <c r="C617" s="4" t="s">
        <v>490</v>
      </c>
      <c r="D617" s="4">
        <v>5</v>
      </c>
      <c r="E617" s="4">
        <v>3285</v>
      </c>
      <c r="F617" s="4">
        <v>45177217</v>
      </c>
      <c r="G617" s="4">
        <v>4</v>
      </c>
      <c r="H617" s="4">
        <v>3</v>
      </c>
      <c r="I617" s="4" t="s">
        <v>18</v>
      </c>
      <c r="J617" s="4" t="s">
        <v>23</v>
      </c>
      <c r="K617" s="4" t="s">
        <v>24</v>
      </c>
      <c r="L617" s="9">
        <v>45703</v>
      </c>
      <c r="M617" s="9" t="str">
        <f>TEXT(Source_data[[#This Row],[Listing_Date]],"mmm-yy")</f>
        <v>Feb-25</v>
      </c>
      <c r="N617" s="4">
        <f t="shared" si="9"/>
        <v>13752.577473363775</v>
      </c>
      <c r="O617" s="3" cm="1">
        <f t="array" ref="O617">_xlfn.IFS(AND(K617="Broker",J617="Resale"),F617*0.5,AND(K617="Owner",J617="Resale"),F617*0,AND(K617="Builder",J617="Resale"),F617*0.3,AND(J617="New",K617="Broker"),F617*0.1,AND(J617="New",K617="Owner"),F617*0,AND(J617="New",K617="Builder"),F617*0.5)</f>
        <v>13553165.1</v>
      </c>
    </row>
    <row r="618" spans="1:15" x14ac:dyDescent="0.3">
      <c r="A618" s="8" t="s">
        <v>667</v>
      </c>
      <c r="B618" s="4" t="s">
        <v>487</v>
      </c>
      <c r="C618" s="4" t="s">
        <v>492</v>
      </c>
      <c r="D618" s="4">
        <v>1</v>
      </c>
      <c r="E618" s="4">
        <v>554</v>
      </c>
      <c r="F618" s="4">
        <v>6323942</v>
      </c>
      <c r="G618" s="4">
        <v>1</v>
      </c>
      <c r="H618" s="4">
        <v>1</v>
      </c>
      <c r="I618" s="4" t="s">
        <v>27</v>
      </c>
      <c r="J618" s="4" t="s">
        <v>23</v>
      </c>
      <c r="K618" s="4" t="s">
        <v>36</v>
      </c>
      <c r="L618" s="9">
        <v>45384</v>
      </c>
      <c r="M618" s="9" t="str">
        <f>TEXT(Source_data[[#This Row],[Listing_Date]],"mmm-yy")</f>
        <v>Apr-24</v>
      </c>
      <c r="N618" s="4">
        <f t="shared" si="9"/>
        <v>11415.057761732853</v>
      </c>
      <c r="O618" s="3" cm="1">
        <f t="array" ref="O618">_xlfn.IFS(AND(K618="Broker",J618="Resale"),F618*0.5,AND(K618="Owner",J618="Resale"),F618*0,AND(K618="Builder",J618="Resale"),F618*0.3,AND(J618="New",K618="Broker"),F618*0.1,AND(J618="New",K618="Owner"),F618*0,AND(J618="New",K618="Builder"),F618*0.5)</f>
        <v>0</v>
      </c>
    </row>
    <row r="619" spans="1:15" x14ac:dyDescent="0.3">
      <c r="A619" s="8" t="s">
        <v>668</v>
      </c>
      <c r="B619" s="4" t="s">
        <v>487</v>
      </c>
      <c r="C619" s="4" t="s">
        <v>488</v>
      </c>
      <c r="D619" s="4">
        <v>3</v>
      </c>
      <c r="E619" s="4">
        <v>1664</v>
      </c>
      <c r="F619" s="4">
        <v>22358799</v>
      </c>
      <c r="G619" s="4">
        <v>3</v>
      </c>
      <c r="H619" s="4">
        <v>3</v>
      </c>
      <c r="I619" s="4" t="s">
        <v>18</v>
      </c>
      <c r="J619" s="4" t="s">
        <v>19</v>
      </c>
      <c r="K619" s="4" t="s">
        <v>20</v>
      </c>
      <c r="L619" s="9">
        <v>45639</v>
      </c>
      <c r="M619" s="9" t="str">
        <f>TEXT(Source_data[[#This Row],[Listing_Date]],"mmm-yy")</f>
        <v>Dec-24</v>
      </c>
      <c r="N619" s="4">
        <f t="shared" si="9"/>
        <v>13436.778245192309</v>
      </c>
      <c r="O619" s="3" cm="1">
        <f t="array" ref="O619">_xlfn.IFS(AND(K619="Broker",J619="Resale"),F619*0.5,AND(K619="Owner",J619="Resale"),F619*0,AND(K619="Builder",J619="Resale"),F619*0.3,AND(J619="New",K619="Broker"),F619*0.1,AND(J619="New",K619="Owner"),F619*0,AND(J619="New",K619="Builder"),F619*0.5)</f>
        <v>2235879.9</v>
      </c>
    </row>
    <row r="620" spans="1:15" x14ac:dyDescent="0.3">
      <c r="A620" s="8" t="s">
        <v>669</v>
      </c>
      <c r="B620" s="4" t="s">
        <v>487</v>
      </c>
      <c r="C620" s="4" t="s">
        <v>498</v>
      </c>
      <c r="D620" s="4">
        <v>2</v>
      </c>
      <c r="E620" s="4">
        <v>1090</v>
      </c>
      <c r="F620" s="4">
        <v>13995003</v>
      </c>
      <c r="G620" s="4">
        <v>3</v>
      </c>
      <c r="H620" s="4">
        <v>1</v>
      </c>
      <c r="I620" s="4" t="s">
        <v>27</v>
      </c>
      <c r="J620" s="4" t="s">
        <v>23</v>
      </c>
      <c r="K620" s="4" t="s">
        <v>20</v>
      </c>
      <c r="L620" s="9">
        <v>45211</v>
      </c>
      <c r="M620" s="9" t="str">
        <f>TEXT(Source_data[[#This Row],[Listing_Date]],"mmm-yy")</f>
        <v>Oct-23</v>
      </c>
      <c r="N620" s="4">
        <f t="shared" si="9"/>
        <v>12839.452293577982</v>
      </c>
      <c r="O620" s="3" cm="1">
        <f t="array" ref="O620">_xlfn.IFS(AND(K620="Broker",J620="Resale"),F620*0.5,AND(K620="Owner",J620="Resale"),F620*0,AND(K620="Builder",J620="Resale"),F620*0.3,AND(J620="New",K620="Broker"),F620*0.1,AND(J620="New",K620="Owner"),F620*0,AND(J620="New",K620="Builder"),F620*0.5)</f>
        <v>6997501.5</v>
      </c>
    </row>
    <row r="621" spans="1:15" x14ac:dyDescent="0.3">
      <c r="A621" s="8" t="s">
        <v>670</v>
      </c>
      <c r="B621" s="4" t="s">
        <v>487</v>
      </c>
      <c r="C621" s="4" t="s">
        <v>495</v>
      </c>
      <c r="D621" s="4">
        <v>2</v>
      </c>
      <c r="E621" s="4">
        <v>842</v>
      </c>
      <c r="F621" s="4">
        <v>11501425</v>
      </c>
      <c r="G621" s="4">
        <v>1</v>
      </c>
      <c r="H621" s="4">
        <v>0</v>
      </c>
      <c r="I621" s="4" t="s">
        <v>27</v>
      </c>
      <c r="J621" s="4" t="s">
        <v>19</v>
      </c>
      <c r="K621" s="4" t="s">
        <v>36</v>
      </c>
      <c r="L621" s="9">
        <v>45246</v>
      </c>
      <c r="M621" s="9" t="str">
        <f>TEXT(Source_data[[#This Row],[Listing_Date]],"mmm-yy")</f>
        <v>Nov-23</v>
      </c>
      <c r="N621" s="4">
        <f t="shared" si="9"/>
        <v>13659.649643705463</v>
      </c>
      <c r="O621" s="3" cm="1">
        <f t="array" ref="O621">_xlfn.IFS(AND(K621="Broker",J621="Resale"),F621*0.5,AND(K621="Owner",J621="Resale"),F621*0,AND(K621="Builder",J621="Resale"),F621*0.3,AND(J621="New",K621="Broker"),F621*0.1,AND(J621="New",K621="Owner"),F621*0,AND(J621="New",K621="Builder"),F621*0.5)</f>
        <v>0</v>
      </c>
    </row>
    <row r="622" spans="1:15" x14ac:dyDescent="0.3">
      <c r="A622" s="8" t="s">
        <v>671</v>
      </c>
      <c r="B622" s="4" t="s">
        <v>487</v>
      </c>
      <c r="C622" s="4" t="s">
        <v>488</v>
      </c>
      <c r="D622" s="4">
        <v>2</v>
      </c>
      <c r="E622" s="4">
        <v>950</v>
      </c>
      <c r="F622" s="4">
        <v>12431726</v>
      </c>
      <c r="G622" s="4">
        <v>2</v>
      </c>
      <c r="H622" s="4">
        <v>1</v>
      </c>
      <c r="I622" s="4" t="s">
        <v>8</v>
      </c>
      <c r="J622" s="4" t="s">
        <v>19</v>
      </c>
      <c r="K622" s="4" t="s">
        <v>20</v>
      </c>
      <c r="L622" s="9">
        <v>45706</v>
      </c>
      <c r="M622" s="9" t="str">
        <f>TEXT(Source_data[[#This Row],[Listing_Date]],"mmm-yy")</f>
        <v>Feb-25</v>
      </c>
      <c r="N622" s="4">
        <f t="shared" si="9"/>
        <v>13086.027368421053</v>
      </c>
      <c r="O622" s="3" cm="1">
        <f t="array" ref="O622">_xlfn.IFS(AND(K622="Broker",J622="Resale"),F622*0.5,AND(K622="Owner",J622="Resale"),F622*0,AND(K622="Builder",J622="Resale"),F622*0.3,AND(J622="New",K622="Broker"),F622*0.1,AND(J622="New",K622="Owner"),F622*0,AND(J622="New",K622="Builder"),F622*0.5)</f>
        <v>1243172.6000000001</v>
      </c>
    </row>
    <row r="623" spans="1:15" x14ac:dyDescent="0.3">
      <c r="A623" s="8" t="s">
        <v>672</v>
      </c>
      <c r="B623" s="4" t="s">
        <v>487</v>
      </c>
      <c r="C623" s="4" t="s">
        <v>492</v>
      </c>
      <c r="D623" s="4">
        <v>3</v>
      </c>
      <c r="E623" s="4">
        <v>1284</v>
      </c>
      <c r="F623" s="4">
        <v>14056631</v>
      </c>
      <c r="G623" s="4">
        <v>3</v>
      </c>
      <c r="H623" s="4">
        <v>2</v>
      </c>
      <c r="I623" s="4" t="s">
        <v>18</v>
      </c>
      <c r="J623" s="4" t="s">
        <v>19</v>
      </c>
      <c r="K623" s="4" t="s">
        <v>24</v>
      </c>
      <c r="L623" s="9">
        <v>45799</v>
      </c>
      <c r="M623" s="9" t="str">
        <f>TEXT(Source_data[[#This Row],[Listing_Date]],"mmm-yy")</f>
        <v>May-25</v>
      </c>
      <c r="N623" s="4">
        <f t="shared" si="9"/>
        <v>10947.531931464175</v>
      </c>
      <c r="O623" s="3" cm="1">
        <f t="array" ref="O623">_xlfn.IFS(AND(K623="Broker",J623="Resale"),F623*0.5,AND(K623="Owner",J623="Resale"),F623*0,AND(K623="Builder",J623="Resale"),F623*0.3,AND(J623="New",K623="Broker"),F623*0.1,AND(J623="New",K623="Owner"),F623*0,AND(J623="New",K623="Builder"),F623*0.5)</f>
        <v>7028315.5</v>
      </c>
    </row>
    <row r="624" spans="1:15" x14ac:dyDescent="0.3">
      <c r="A624" s="8" t="s">
        <v>673</v>
      </c>
      <c r="B624" s="4" t="s">
        <v>487</v>
      </c>
      <c r="C624" s="4" t="s">
        <v>488</v>
      </c>
      <c r="D624" s="4">
        <v>2</v>
      </c>
      <c r="E624" s="4">
        <v>617</v>
      </c>
      <c r="F624" s="4">
        <v>8395067</v>
      </c>
      <c r="G624" s="4">
        <v>1</v>
      </c>
      <c r="H624" s="4">
        <v>3</v>
      </c>
      <c r="I624" s="4" t="s">
        <v>8</v>
      </c>
      <c r="J624" s="4" t="s">
        <v>23</v>
      </c>
      <c r="K624" s="4" t="s">
        <v>36</v>
      </c>
      <c r="L624" s="9">
        <v>45256</v>
      </c>
      <c r="M624" s="9" t="str">
        <f>TEXT(Source_data[[#This Row],[Listing_Date]],"mmm-yy")</f>
        <v>Nov-23</v>
      </c>
      <c r="N624" s="4">
        <f t="shared" si="9"/>
        <v>13606.267423014586</v>
      </c>
      <c r="O624" s="3" cm="1">
        <f t="array" ref="O624">_xlfn.IFS(AND(K624="Broker",J624="Resale"),F624*0.5,AND(K624="Owner",J624="Resale"),F624*0,AND(K624="Builder",J624="Resale"),F624*0.3,AND(J624="New",K624="Broker"),F624*0.1,AND(J624="New",K624="Owner"),F624*0,AND(J624="New",K624="Builder"),F624*0.5)</f>
        <v>0</v>
      </c>
    </row>
    <row r="625" spans="1:15" x14ac:dyDescent="0.3">
      <c r="A625" s="8" t="s">
        <v>674</v>
      </c>
      <c r="B625" s="4" t="s">
        <v>487</v>
      </c>
      <c r="C625" s="4" t="s">
        <v>488</v>
      </c>
      <c r="D625" s="4">
        <v>3</v>
      </c>
      <c r="E625" s="4">
        <v>1393</v>
      </c>
      <c r="F625" s="4">
        <v>17254915</v>
      </c>
      <c r="G625" s="4">
        <v>2</v>
      </c>
      <c r="H625" s="4">
        <v>2</v>
      </c>
      <c r="I625" s="4" t="s">
        <v>27</v>
      </c>
      <c r="J625" s="4" t="s">
        <v>19</v>
      </c>
      <c r="K625" s="4" t="s">
        <v>24</v>
      </c>
      <c r="L625" s="9">
        <v>45779</v>
      </c>
      <c r="M625" s="9" t="str">
        <f>TEXT(Source_data[[#This Row],[Listing_Date]],"mmm-yy")</f>
        <v>May-25</v>
      </c>
      <c r="N625" s="4">
        <f t="shared" si="9"/>
        <v>12386.873653984207</v>
      </c>
      <c r="O625" s="3" cm="1">
        <f t="array" ref="O625">_xlfn.IFS(AND(K625="Broker",J625="Resale"),F625*0.5,AND(K625="Owner",J625="Resale"),F625*0,AND(K625="Builder",J625="Resale"),F625*0.3,AND(J625="New",K625="Broker"),F625*0.1,AND(J625="New",K625="Owner"),F625*0,AND(J625="New",K625="Builder"),F625*0.5)</f>
        <v>8627457.5</v>
      </c>
    </row>
    <row r="626" spans="1:15" x14ac:dyDescent="0.3">
      <c r="A626" s="8" t="s">
        <v>675</v>
      </c>
      <c r="B626" s="4" t="s">
        <v>487</v>
      </c>
      <c r="C626" s="4" t="s">
        <v>490</v>
      </c>
      <c r="D626" s="4">
        <v>1</v>
      </c>
      <c r="E626" s="4">
        <v>930</v>
      </c>
      <c r="F626" s="4">
        <v>12444074</v>
      </c>
      <c r="G626" s="4">
        <v>2</v>
      </c>
      <c r="H626" s="4">
        <v>1</v>
      </c>
      <c r="I626" s="4" t="s">
        <v>8</v>
      </c>
      <c r="J626" s="4" t="s">
        <v>19</v>
      </c>
      <c r="K626" s="4" t="s">
        <v>24</v>
      </c>
      <c r="L626" s="9">
        <v>45436</v>
      </c>
      <c r="M626" s="9" t="str">
        <f>TEXT(Source_data[[#This Row],[Listing_Date]],"mmm-yy")</f>
        <v>May-24</v>
      </c>
      <c r="N626" s="4">
        <f t="shared" si="9"/>
        <v>13380.724731182796</v>
      </c>
      <c r="O626" s="3" cm="1">
        <f t="array" ref="O626">_xlfn.IFS(AND(K626="Broker",J626="Resale"),F626*0.5,AND(K626="Owner",J626="Resale"),F626*0,AND(K626="Builder",J626="Resale"),F626*0.3,AND(J626="New",K626="Broker"),F626*0.1,AND(J626="New",K626="Owner"),F626*0,AND(J626="New",K626="Builder"),F626*0.5)</f>
        <v>6222037</v>
      </c>
    </row>
    <row r="627" spans="1:15" x14ac:dyDescent="0.3">
      <c r="A627" s="8" t="s">
        <v>676</v>
      </c>
      <c r="B627" s="4" t="s">
        <v>487</v>
      </c>
      <c r="C627" s="4" t="s">
        <v>498</v>
      </c>
      <c r="D627" s="4">
        <v>3</v>
      </c>
      <c r="E627" s="4">
        <v>1472</v>
      </c>
      <c r="F627" s="4">
        <v>12892097</v>
      </c>
      <c r="G627" s="4">
        <v>3</v>
      </c>
      <c r="H627" s="4">
        <v>0</v>
      </c>
      <c r="I627" s="4" t="s">
        <v>18</v>
      </c>
      <c r="J627" s="4" t="s">
        <v>19</v>
      </c>
      <c r="K627" s="4" t="s">
        <v>20</v>
      </c>
      <c r="L627" s="9">
        <v>45383</v>
      </c>
      <c r="M627" s="9" t="str">
        <f>TEXT(Source_data[[#This Row],[Listing_Date]],"mmm-yy")</f>
        <v>Apr-24</v>
      </c>
      <c r="N627" s="4">
        <f t="shared" si="9"/>
        <v>8758.218070652174</v>
      </c>
      <c r="O627" s="3" cm="1">
        <f t="array" ref="O627">_xlfn.IFS(AND(K627="Broker",J627="Resale"),F627*0.5,AND(K627="Owner",J627="Resale"),F627*0,AND(K627="Builder",J627="Resale"),F627*0.3,AND(J627="New",K627="Broker"),F627*0.1,AND(J627="New",K627="Owner"),F627*0,AND(J627="New",K627="Builder"),F627*0.5)</f>
        <v>1289209.7000000002</v>
      </c>
    </row>
    <row r="628" spans="1:15" x14ac:dyDescent="0.3">
      <c r="A628" s="8" t="s">
        <v>677</v>
      </c>
      <c r="B628" s="4" t="s">
        <v>487</v>
      </c>
      <c r="C628" s="4" t="s">
        <v>490</v>
      </c>
      <c r="D628" s="4">
        <v>2</v>
      </c>
      <c r="E628" s="4">
        <v>854</v>
      </c>
      <c r="F628" s="4">
        <v>7602564</v>
      </c>
      <c r="G628" s="4">
        <v>2</v>
      </c>
      <c r="H628" s="4">
        <v>1</v>
      </c>
      <c r="I628" s="4" t="s">
        <v>18</v>
      </c>
      <c r="J628" s="4" t="s">
        <v>19</v>
      </c>
      <c r="K628" s="4" t="s">
        <v>20</v>
      </c>
      <c r="L628" s="9">
        <v>45311</v>
      </c>
      <c r="M628" s="9" t="str">
        <f>TEXT(Source_data[[#This Row],[Listing_Date]],"mmm-yy")</f>
        <v>Jan-24</v>
      </c>
      <c r="N628" s="4">
        <f t="shared" si="9"/>
        <v>8902.2997658079621</v>
      </c>
      <c r="O628" s="3" cm="1">
        <f t="array" ref="O628">_xlfn.IFS(AND(K628="Broker",J628="Resale"),F628*0.5,AND(K628="Owner",J628="Resale"),F628*0,AND(K628="Builder",J628="Resale"),F628*0.3,AND(J628="New",K628="Broker"),F628*0.1,AND(J628="New",K628="Owner"),F628*0,AND(J628="New",K628="Builder"),F628*0.5)</f>
        <v>760256.4</v>
      </c>
    </row>
    <row r="629" spans="1:15" x14ac:dyDescent="0.3">
      <c r="A629" s="8" t="s">
        <v>678</v>
      </c>
      <c r="B629" s="4" t="s">
        <v>679</v>
      </c>
      <c r="C629" s="4" t="s">
        <v>680</v>
      </c>
      <c r="D629" s="4">
        <v>3</v>
      </c>
      <c r="E629" s="4">
        <v>1083</v>
      </c>
      <c r="F629" s="4">
        <v>7042400</v>
      </c>
      <c r="G629" s="4">
        <v>2</v>
      </c>
      <c r="H629" s="4">
        <v>2</v>
      </c>
      <c r="I629" s="4" t="s">
        <v>18</v>
      </c>
      <c r="J629" s="4" t="s">
        <v>23</v>
      </c>
      <c r="K629" s="4" t="s">
        <v>24</v>
      </c>
      <c r="L629" s="9">
        <v>45155</v>
      </c>
      <c r="M629" s="9" t="str">
        <f>TEXT(Source_data[[#This Row],[Listing_Date]],"mmm-yy")</f>
        <v>Aug-23</v>
      </c>
      <c r="N629" s="4">
        <f t="shared" si="9"/>
        <v>6502.6777469990766</v>
      </c>
      <c r="O629" s="3" cm="1">
        <f t="array" ref="O629">_xlfn.IFS(AND(K629="Broker",J629="Resale"),F629*0.5,AND(K629="Owner",J629="Resale"),F629*0,AND(K629="Builder",J629="Resale"),F629*0.3,AND(J629="New",K629="Broker"),F629*0.1,AND(J629="New",K629="Owner"),F629*0,AND(J629="New",K629="Builder"),F629*0.5)</f>
        <v>2112720</v>
      </c>
    </row>
    <row r="630" spans="1:15" x14ac:dyDescent="0.3">
      <c r="A630" s="8" t="s">
        <v>681</v>
      </c>
      <c r="B630" s="4" t="s">
        <v>679</v>
      </c>
      <c r="C630" s="4" t="s">
        <v>682</v>
      </c>
      <c r="D630" s="4">
        <v>3</v>
      </c>
      <c r="E630" s="4">
        <v>350</v>
      </c>
      <c r="F630" s="4">
        <v>3464093</v>
      </c>
      <c r="G630" s="4">
        <v>3</v>
      </c>
      <c r="H630" s="4">
        <v>1</v>
      </c>
      <c r="I630" s="4" t="s">
        <v>8</v>
      </c>
      <c r="J630" s="4" t="s">
        <v>23</v>
      </c>
      <c r="K630" s="4" t="s">
        <v>24</v>
      </c>
      <c r="L630" s="9">
        <v>45717</v>
      </c>
      <c r="M630" s="9" t="str">
        <f>TEXT(Source_data[[#This Row],[Listing_Date]],"mmm-yy")</f>
        <v>Mar-25</v>
      </c>
      <c r="N630" s="4">
        <f t="shared" si="9"/>
        <v>9897.408571428572</v>
      </c>
      <c r="O630" s="3" cm="1">
        <f t="array" ref="O630">_xlfn.IFS(AND(K630="Broker",J630="Resale"),F630*0.5,AND(K630="Owner",J630="Resale"),F630*0,AND(K630="Builder",J630="Resale"),F630*0.3,AND(J630="New",K630="Broker"),F630*0.1,AND(J630="New",K630="Owner"),F630*0,AND(J630="New",K630="Builder"),F630*0.5)</f>
        <v>1039227.8999999999</v>
      </c>
    </row>
    <row r="631" spans="1:15" x14ac:dyDescent="0.3">
      <c r="A631" s="8" t="s">
        <v>683</v>
      </c>
      <c r="B631" s="4" t="s">
        <v>679</v>
      </c>
      <c r="C631" s="4" t="s">
        <v>684</v>
      </c>
      <c r="D631" s="4">
        <v>4</v>
      </c>
      <c r="E631" s="4">
        <v>2182</v>
      </c>
      <c r="F631" s="4">
        <v>44522837</v>
      </c>
      <c r="G631" s="4">
        <v>3</v>
      </c>
      <c r="H631" s="4">
        <v>1</v>
      </c>
      <c r="I631" s="4" t="s">
        <v>8</v>
      </c>
      <c r="J631" s="4" t="s">
        <v>19</v>
      </c>
      <c r="K631" s="4" t="s">
        <v>20</v>
      </c>
      <c r="L631" s="9">
        <v>45569</v>
      </c>
      <c r="M631" s="9" t="str">
        <f>TEXT(Source_data[[#This Row],[Listing_Date]],"mmm-yy")</f>
        <v>Oct-24</v>
      </c>
      <c r="N631" s="4">
        <f t="shared" si="9"/>
        <v>20404.599908340973</v>
      </c>
      <c r="O631" s="3" cm="1">
        <f t="array" ref="O631">_xlfn.IFS(AND(K631="Broker",J631="Resale"),F631*0.5,AND(K631="Owner",J631="Resale"),F631*0,AND(K631="Builder",J631="Resale"),F631*0.3,AND(J631="New",K631="Broker"),F631*0.1,AND(J631="New",K631="Owner"),F631*0,AND(J631="New",K631="Builder"),F631*0.5)</f>
        <v>4452283.7</v>
      </c>
    </row>
    <row r="632" spans="1:15" x14ac:dyDescent="0.3">
      <c r="A632" s="8" t="s">
        <v>685</v>
      </c>
      <c r="B632" s="4" t="s">
        <v>679</v>
      </c>
      <c r="C632" s="4" t="s">
        <v>686</v>
      </c>
      <c r="D632" s="4">
        <v>2</v>
      </c>
      <c r="E632" s="4">
        <v>793</v>
      </c>
      <c r="F632" s="4">
        <v>8434485</v>
      </c>
      <c r="G632" s="4">
        <v>2</v>
      </c>
      <c r="H632" s="4">
        <v>3</v>
      </c>
      <c r="I632" s="4" t="s">
        <v>8</v>
      </c>
      <c r="J632" s="4" t="s">
        <v>19</v>
      </c>
      <c r="K632" s="4" t="s">
        <v>20</v>
      </c>
      <c r="L632" s="9">
        <v>45234</v>
      </c>
      <c r="M632" s="9" t="str">
        <f>TEXT(Source_data[[#This Row],[Listing_Date]],"mmm-yy")</f>
        <v>Nov-23</v>
      </c>
      <c r="N632" s="4">
        <f t="shared" si="9"/>
        <v>10636.172761664566</v>
      </c>
      <c r="O632" s="3" cm="1">
        <f t="array" ref="O632">_xlfn.IFS(AND(K632="Broker",J632="Resale"),F632*0.5,AND(K632="Owner",J632="Resale"),F632*0,AND(K632="Builder",J632="Resale"),F632*0.3,AND(J632="New",K632="Broker"),F632*0.1,AND(J632="New",K632="Owner"),F632*0,AND(J632="New",K632="Builder"),F632*0.5)</f>
        <v>843448.5</v>
      </c>
    </row>
    <row r="633" spans="1:15" x14ac:dyDescent="0.3">
      <c r="A633" s="8" t="s">
        <v>687</v>
      </c>
      <c r="B633" s="4" t="s">
        <v>679</v>
      </c>
      <c r="C633" s="4" t="s">
        <v>682</v>
      </c>
      <c r="D633" s="4">
        <v>3</v>
      </c>
      <c r="E633" s="4">
        <v>785</v>
      </c>
      <c r="F633" s="4">
        <v>9773301</v>
      </c>
      <c r="G633" s="4">
        <v>2</v>
      </c>
      <c r="H633" s="4">
        <v>0</v>
      </c>
      <c r="I633" s="4" t="s">
        <v>27</v>
      </c>
      <c r="J633" s="4" t="s">
        <v>23</v>
      </c>
      <c r="K633" s="4" t="s">
        <v>20</v>
      </c>
      <c r="L633" s="9">
        <v>45248</v>
      </c>
      <c r="M633" s="9" t="str">
        <f>TEXT(Source_data[[#This Row],[Listing_Date]],"mmm-yy")</f>
        <v>Nov-23</v>
      </c>
      <c r="N633" s="4">
        <f t="shared" si="9"/>
        <v>12450.064968152867</v>
      </c>
      <c r="O633" s="3" cm="1">
        <f t="array" ref="O633">_xlfn.IFS(AND(K633="Broker",J633="Resale"),F633*0.5,AND(K633="Owner",J633="Resale"),F633*0,AND(K633="Builder",J633="Resale"),F633*0.3,AND(J633="New",K633="Broker"),F633*0.1,AND(J633="New",K633="Owner"),F633*0,AND(J633="New",K633="Builder"),F633*0.5)</f>
        <v>4886650.5</v>
      </c>
    </row>
    <row r="634" spans="1:15" x14ac:dyDescent="0.3">
      <c r="A634" s="8" t="s">
        <v>688</v>
      </c>
      <c r="B634" s="4" t="s">
        <v>679</v>
      </c>
      <c r="C634" s="4" t="s">
        <v>680</v>
      </c>
      <c r="D634" s="4">
        <v>1</v>
      </c>
      <c r="E634" s="4">
        <v>575</v>
      </c>
      <c r="F634" s="4">
        <v>5720471</v>
      </c>
      <c r="G634" s="4">
        <v>1</v>
      </c>
      <c r="H634" s="4">
        <v>2</v>
      </c>
      <c r="I634" s="4" t="s">
        <v>27</v>
      </c>
      <c r="J634" s="4" t="s">
        <v>19</v>
      </c>
      <c r="K634" s="4" t="s">
        <v>36</v>
      </c>
      <c r="L634" s="9">
        <v>45600</v>
      </c>
      <c r="M634" s="9" t="str">
        <f>TEXT(Source_data[[#This Row],[Listing_Date]],"mmm-yy")</f>
        <v>Nov-24</v>
      </c>
      <c r="N634" s="4">
        <f t="shared" si="9"/>
        <v>9948.645217391304</v>
      </c>
      <c r="O634" s="3" cm="1">
        <f t="array" ref="O634">_xlfn.IFS(AND(K634="Broker",J634="Resale"),F634*0.5,AND(K634="Owner",J634="Resale"),F634*0,AND(K634="Builder",J634="Resale"),F634*0.3,AND(J634="New",K634="Broker"),F634*0.1,AND(J634="New",K634="Owner"),F634*0,AND(J634="New",K634="Builder"),F634*0.5)</f>
        <v>0</v>
      </c>
    </row>
    <row r="635" spans="1:15" x14ac:dyDescent="0.3">
      <c r="A635" s="8" t="s">
        <v>689</v>
      </c>
      <c r="B635" s="4" t="s">
        <v>679</v>
      </c>
      <c r="C635" s="4" t="s">
        <v>680</v>
      </c>
      <c r="D635" s="4">
        <v>3</v>
      </c>
      <c r="E635" s="4">
        <v>1083</v>
      </c>
      <c r="F635" s="4">
        <v>7042400</v>
      </c>
      <c r="G635" s="4">
        <v>2</v>
      </c>
      <c r="H635" s="4">
        <v>2</v>
      </c>
      <c r="I635" s="4" t="s">
        <v>18</v>
      </c>
      <c r="J635" s="4" t="s">
        <v>23</v>
      </c>
      <c r="K635" s="4" t="s">
        <v>24</v>
      </c>
      <c r="L635" s="9">
        <v>45155</v>
      </c>
      <c r="M635" s="9" t="str">
        <f>TEXT(Source_data[[#This Row],[Listing_Date]],"mmm-yy")</f>
        <v>Aug-23</v>
      </c>
      <c r="N635" s="4">
        <f t="shared" si="9"/>
        <v>6502.6777469990766</v>
      </c>
      <c r="O635" s="3" cm="1">
        <f t="array" ref="O635">_xlfn.IFS(AND(K635="Broker",J635="Resale"),F635*0.5,AND(K635="Owner",J635="Resale"),F635*0,AND(K635="Builder",J635="Resale"),F635*0.3,AND(J635="New",K635="Broker"),F635*0.1,AND(J635="New",K635="Owner"),F635*0,AND(J635="New",K635="Builder"),F635*0.5)</f>
        <v>2112720</v>
      </c>
    </row>
    <row r="636" spans="1:15" x14ac:dyDescent="0.3">
      <c r="A636" s="8" t="s">
        <v>690</v>
      </c>
      <c r="B636" s="4" t="s">
        <v>679</v>
      </c>
      <c r="C636" s="4" t="s">
        <v>691</v>
      </c>
      <c r="D636" s="4">
        <v>2</v>
      </c>
      <c r="E636" s="4">
        <v>476</v>
      </c>
      <c r="F636" s="4">
        <v>3447377</v>
      </c>
      <c r="G636" s="4">
        <v>3</v>
      </c>
      <c r="H636" s="4">
        <v>1</v>
      </c>
      <c r="I636" s="4" t="s">
        <v>8</v>
      </c>
      <c r="J636" s="4" t="s">
        <v>19</v>
      </c>
      <c r="K636" s="4" t="s">
        <v>20</v>
      </c>
      <c r="L636" s="9">
        <v>45151</v>
      </c>
      <c r="M636" s="9" t="str">
        <f>TEXT(Source_data[[#This Row],[Listing_Date]],"mmm-yy")</f>
        <v>Aug-23</v>
      </c>
      <c r="N636" s="4">
        <f t="shared" si="9"/>
        <v>7242.3886554621849</v>
      </c>
      <c r="O636" s="3" cm="1">
        <f t="array" ref="O636">_xlfn.IFS(AND(K636="Broker",J636="Resale"),F636*0.5,AND(K636="Owner",J636="Resale"),F636*0,AND(K636="Builder",J636="Resale"),F636*0.3,AND(J636="New",K636="Broker"),F636*0.1,AND(J636="New",K636="Owner"),F636*0,AND(J636="New",K636="Builder"),F636*0.5)</f>
        <v>344737.7</v>
      </c>
    </row>
    <row r="637" spans="1:15" x14ac:dyDescent="0.3">
      <c r="A637" s="8" t="s">
        <v>692</v>
      </c>
      <c r="B637" s="4" t="s">
        <v>679</v>
      </c>
      <c r="C637" s="4" t="s">
        <v>684</v>
      </c>
      <c r="D637" s="4">
        <v>2</v>
      </c>
      <c r="E637" s="4">
        <v>1357</v>
      </c>
      <c r="F637" s="4">
        <v>10184555</v>
      </c>
      <c r="G637" s="4">
        <v>3</v>
      </c>
      <c r="H637" s="4">
        <v>3</v>
      </c>
      <c r="I637" s="4" t="s">
        <v>27</v>
      </c>
      <c r="J637" s="4" t="s">
        <v>23</v>
      </c>
      <c r="K637" s="4" t="s">
        <v>36</v>
      </c>
      <c r="L637" s="9">
        <v>45305</v>
      </c>
      <c r="M637" s="9" t="str">
        <f>TEXT(Source_data[[#This Row],[Listing_Date]],"mmm-yy")</f>
        <v>Jan-24</v>
      </c>
      <c r="N637" s="4">
        <f t="shared" si="9"/>
        <v>7505.1989683124539</v>
      </c>
      <c r="O637" s="3" cm="1">
        <f t="array" ref="O637">_xlfn.IFS(AND(K637="Broker",J637="Resale"),F637*0.5,AND(K637="Owner",J637="Resale"),F637*0,AND(K637="Builder",J637="Resale"),F637*0.3,AND(J637="New",K637="Broker"),F637*0.1,AND(J637="New",K637="Owner"),F637*0,AND(J637="New",K637="Builder"),F637*0.5)</f>
        <v>0</v>
      </c>
    </row>
    <row r="638" spans="1:15" x14ac:dyDescent="0.3">
      <c r="A638" s="8" t="s">
        <v>693</v>
      </c>
      <c r="B638" s="4" t="s">
        <v>679</v>
      </c>
      <c r="C638" s="4" t="s">
        <v>680</v>
      </c>
      <c r="D638" s="4">
        <v>3</v>
      </c>
      <c r="E638" s="4">
        <v>1580</v>
      </c>
      <c r="F638" s="4">
        <v>16040892</v>
      </c>
      <c r="G638" s="4">
        <v>4</v>
      </c>
      <c r="H638" s="4">
        <v>2</v>
      </c>
      <c r="I638" s="4" t="s">
        <v>27</v>
      </c>
      <c r="J638" s="4" t="s">
        <v>23</v>
      </c>
      <c r="K638" s="4" t="s">
        <v>24</v>
      </c>
      <c r="L638" s="9">
        <v>45135</v>
      </c>
      <c r="M638" s="9" t="str">
        <f>TEXT(Source_data[[#This Row],[Listing_Date]],"mmm-yy")</f>
        <v>Jul-23</v>
      </c>
      <c r="N638" s="4">
        <f t="shared" si="9"/>
        <v>10152.46329113924</v>
      </c>
      <c r="O638" s="3" cm="1">
        <f t="array" ref="O638">_xlfn.IFS(AND(K638="Broker",J638="Resale"),F638*0.5,AND(K638="Owner",J638="Resale"),F638*0,AND(K638="Builder",J638="Resale"),F638*0.3,AND(J638="New",K638="Broker"),F638*0.1,AND(J638="New",K638="Owner"),F638*0,AND(J638="New",K638="Builder"),F638*0.5)</f>
        <v>4812267.5999999996</v>
      </c>
    </row>
    <row r="639" spans="1:15" x14ac:dyDescent="0.3">
      <c r="A639" s="8" t="s">
        <v>694</v>
      </c>
      <c r="B639" s="4" t="s">
        <v>679</v>
      </c>
      <c r="C639" s="4" t="s">
        <v>686</v>
      </c>
      <c r="D639" s="4">
        <v>3</v>
      </c>
      <c r="E639" s="4">
        <v>896</v>
      </c>
      <c r="F639" s="4">
        <v>4668571</v>
      </c>
      <c r="G639" s="4">
        <v>2</v>
      </c>
      <c r="H639" s="4">
        <v>3</v>
      </c>
      <c r="I639" s="4" t="s">
        <v>18</v>
      </c>
      <c r="J639" s="4" t="s">
        <v>23</v>
      </c>
      <c r="K639" s="4" t="s">
        <v>20</v>
      </c>
      <c r="L639" s="9">
        <v>45225</v>
      </c>
      <c r="M639" s="9" t="str">
        <f>TEXT(Source_data[[#This Row],[Listing_Date]],"mmm-yy")</f>
        <v>Oct-23</v>
      </c>
      <c r="N639" s="4">
        <f t="shared" si="9"/>
        <v>5210.4587053571431</v>
      </c>
      <c r="O639" s="3" cm="1">
        <f t="array" ref="O639">_xlfn.IFS(AND(K639="Broker",J639="Resale"),F639*0.5,AND(K639="Owner",J639="Resale"),F639*0,AND(K639="Builder",J639="Resale"),F639*0.3,AND(J639="New",K639="Broker"),F639*0.1,AND(J639="New",K639="Owner"),F639*0,AND(J639="New",K639="Builder"),F639*0.5)</f>
        <v>2334285.5</v>
      </c>
    </row>
    <row r="640" spans="1:15" x14ac:dyDescent="0.3">
      <c r="A640" s="8" t="s">
        <v>695</v>
      </c>
      <c r="B640" s="4" t="s">
        <v>679</v>
      </c>
      <c r="C640" s="4" t="s">
        <v>682</v>
      </c>
      <c r="D640" s="4">
        <v>1</v>
      </c>
      <c r="E640" s="4">
        <v>570</v>
      </c>
      <c r="F640" s="4">
        <v>5975426</v>
      </c>
      <c r="G640" s="4">
        <v>1</v>
      </c>
      <c r="H640" s="4">
        <v>1</v>
      </c>
      <c r="I640" s="4" t="s">
        <v>18</v>
      </c>
      <c r="J640" s="4" t="s">
        <v>23</v>
      </c>
      <c r="K640" s="4" t="s">
        <v>20</v>
      </c>
      <c r="L640" s="9">
        <v>45706</v>
      </c>
      <c r="M640" s="9" t="str">
        <f>TEXT(Source_data[[#This Row],[Listing_Date]],"mmm-yy")</f>
        <v>Feb-25</v>
      </c>
      <c r="N640" s="4">
        <f t="shared" si="9"/>
        <v>10483.203508771931</v>
      </c>
      <c r="O640" s="3" cm="1">
        <f t="array" ref="O640">_xlfn.IFS(AND(K640="Broker",J640="Resale"),F640*0.5,AND(K640="Owner",J640="Resale"),F640*0,AND(K640="Builder",J640="Resale"),F640*0.3,AND(J640="New",K640="Broker"),F640*0.1,AND(J640="New",K640="Owner"),F640*0,AND(J640="New",K640="Builder"),F640*0.5)</f>
        <v>2987713</v>
      </c>
    </row>
    <row r="641" spans="1:15" x14ac:dyDescent="0.3">
      <c r="A641" s="8" t="s">
        <v>696</v>
      </c>
      <c r="B641" s="4" t="s">
        <v>679</v>
      </c>
      <c r="C641" s="4" t="s">
        <v>686</v>
      </c>
      <c r="D641" s="4">
        <v>1</v>
      </c>
      <c r="E641" s="4">
        <v>446</v>
      </c>
      <c r="F641" s="4">
        <v>4610984</v>
      </c>
      <c r="G641" s="4">
        <v>1</v>
      </c>
      <c r="H641" s="4">
        <v>2</v>
      </c>
      <c r="I641" s="4" t="s">
        <v>18</v>
      </c>
      <c r="J641" s="4" t="s">
        <v>23</v>
      </c>
      <c r="K641" s="4" t="s">
        <v>24</v>
      </c>
      <c r="L641" s="9">
        <v>45250</v>
      </c>
      <c r="M641" s="9" t="str">
        <f>TEXT(Source_data[[#This Row],[Listing_Date]],"mmm-yy")</f>
        <v>Nov-23</v>
      </c>
      <c r="N641" s="4">
        <f t="shared" si="9"/>
        <v>10338.529147982063</v>
      </c>
      <c r="O641" s="3" cm="1">
        <f t="array" ref="O641">_xlfn.IFS(AND(K641="Broker",J641="Resale"),F641*0.5,AND(K641="Owner",J641="Resale"),F641*0,AND(K641="Builder",J641="Resale"),F641*0.3,AND(J641="New",K641="Broker"),F641*0.1,AND(J641="New",K641="Owner"),F641*0,AND(J641="New",K641="Builder"),F641*0.5)</f>
        <v>1383295.2</v>
      </c>
    </row>
    <row r="642" spans="1:15" x14ac:dyDescent="0.3">
      <c r="A642" s="8" t="s">
        <v>697</v>
      </c>
      <c r="B642" s="4" t="s">
        <v>679</v>
      </c>
      <c r="C642" s="4" t="s">
        <v>698</v>
      </c>
      <c r="D642" s="4">
        <v>1</v>
      </c>
      <c r="E642" s="4">
        <v>622</v>
      </c>
      <c r="F642" s="4">
        <v>5009125</v>
      </c>
      <c r="G642" s="4">
        <v>1</v>
      </c>
      <c r="H642" s="4">
        <v>2</v>
      </c>
      <c r="I642" s="4" t="s">
        <v>18</v>
      </c>
      <c r="J642" s="4" t="s">
        <v>19</v>
      </c>
      <c r="K642" s="4" t="s">
        <v>36</v>
      </c>
      <c r="L642" s="9">
        <v>45496</v>
      </c>
      <c r="M642" s="9" t="str">
        <f>TEXT(Source_data[[#This Row],[Listing_Date]],"mmm-yy")</f>
        <v>Jul-24</v>
      </c>
      <c r="N642" s="4">
        <f t="shared" si="9"/>
        <v>8053.2556270096466</v>
      </c>
      <c r="O642" s="3" cm="1">
        <f t="array" ref="O642">_xlfn.IFS(AND(K642="Broker",J642="Resale"),F642*0.5,AND(K642="Owner",J642="Resale"),F642*0,AND(K642="Builder",J642="Resale"),F642*0.3,AND(J642="New",K642="Broker"),F642*0.1,AND(J642="New",K642="Owner"),F642*0,AND(J642="New",K642="Builder"),F642*0.5)</f>
        <v>0</v>
      </c>
    </row>
    <row r="643" spans="1:15" x14ac:dyDescent="0.3">
      <c r="A643" s="8" t="s">
        <v>699</v>
      </c>
      <c r="B643" s="4" t="s">
        <v>679</v>
      </c>
      <c r="C643" s="4" t="s">
        <v>680</v>
      </c>
      <c r="D643" s="4">
        <v>2</v>
      </c>
      <c r="E643" s="4">
        <v>1018</v>
      </c>
      <c r="F643" s="4">
        <v>7158520</v>
      </c>
      <c r="G643" s="4">
        <v>2</v>
      </c>
      <c r="H643" s="4">
        <v>1</v>
      </c>
      <c r="I643" s="4" t="s">
        <v>18</v>
      </c>
      <c r="J643" s="4" t="s">
        <v>19</v>
      </c>
      <c r="K643" s="4" t="s">
        <v>20</v>
      </c>
      <c r="L643" s="9">
        <v>45701</v>
      </c>
      <c r="M643" s="9" t="str">
        <f>TEXT(Source_data[[#This Row],[Listing_Date]],"mmm-yy")</f>
        <v>Feb-25</v>
      </c>
      <c r="N643" s="4">
        <f t="shared" ref="N643:N706" si="10">F643/E643</f>
        <v>7031.9449901768176</v>
      </c>
      <c r="O643" s="3" cm="1">
        <f t="array" ref="O643">_xlfn.IFS(AND(K643="Broker",J643="Resale"),F643*0.5,AND(K643="Owner",J643="Resale"),F643*0,AND(K643="Builder",J643="Resale"),F643*0.3,AND(J643="New",K643="Broker"),F643*0.1,AND(J643="New",K643="Owner"),F643*0,AND(J643="New",K643="Builder"),F643*0.5)</f>
        <v>715852</v>
      </c>
    </row>
    <row r="644" spans="1:15" x14ac:dyDescent="0.3">
      <c r="A644" s="8" t="s">
        <v>700</v>
      </c>
      <c r="B644" s="4" t="s">
        <v>679</v>
      </c>
      <c r="C644" s="4" t="s">
        <v>680</v>
      </c>
      <c r="D644" s="4">
        <v>4</v>
      </c>
      <c r="E644" s="4">
        <v>1999</v>
      </c>
      <c r="F644" s="4">
        <v>17483087</v>
      </c>
      <c r="G644" s="4">
        <v>3</v>
      </c>
      <c r="H644" s="4">
        <v>1</v>
      </c>
      <c r="I644" s="4" t="s">
        <v>27</v>
      </c>
      <c r="J644" s="4" t="s">
        <v>23</v>
      </c>
      <c r="K644" s="4" t="s">
        <v>24</v>
      </c>
      <c r="L644" s="9">
        <v>45212</v>
      </c>
      <c r="M644" s="9" t="str">
        <f>TEXT(Source_data[[#This Row],[Listing_Date]],"mmm-yy")</f>
        <v>Oct-23</v>
      </c>
      <c r="N644" s="4">
        <f t="shared" si="10"/>
        <v>8745.9164582291141</v>
      </c>
      <c r="O644" s="3" cm="1">
        <f t="array" ref="O644">_xlfn.IFS(AND(K644="Broker",J644="Resale"),F644*0.5,AND(K644="Owner",J644="Resale"),F644*0,AND(K644="Builder",J644="Resale"),F644*0.3,AND(J644="New",K644="Broker"),F644*0.1,AND(J644="New",K644="Owner"),F644*0,AND(J644="New",K644="Builder"),F644*0.5)</f>
        <v>5244926.0999999996</v>
      </c>
    </row>
    <row r="645" spans="1:15" x14ac:dyDescent="0.3">
      <c r="A645" s="8" t="s">
        <v>701</v>
      </c>
      <c r="B645" s="4" t="s">
        <v>679</v>
      </c>
      <c r="C645" s="4" t="s">
        <v>691</v>
      </c>
      <c r="D645" s="4">
        <v>4</v>
      </c>
      <c r="E645" s="4">
        <v>1144</v>
      </c>
      <c r="F645" s="4">
        <v>10679527</v>
      </c>
      <c r="G645" s="4">
        <v>3</v>
      </c>
      <c r="H645" s="4">
        <v>1</v>
      </c>
      <c r="I645" s="4" t="s">
        <v>8</v>
      </c>
      <c r="J645" s="4" t="s">
        <v>19</v>
      </c>
      <c r="K645" s="4" t="s">
        <v>20</v>
      </c>
      <c r="L645" s="9">
        <v>44965</v>
      </c>
      <c r="M645" s="9" t="str">
        <f>TEXT(Source_data[[#This Row],[Listing_Date]],"mmm-yy")</f>
        <v>Feb-23</v>
      </c>
      <c r="N645" s="4">
        <f t="shared" si="10"/>
        <v>9335.2508741258735</v>
      </c>
      <c r="O645" s="3" cm="1">
        <f t="array" ref="O645">_xlfn.IFS(AND(K645="Broker",J645="Resale"),F645*0.5,AND(K645="Owner",J645="Resale"),F645*0,AND(K645="Builder",J645="Resale"),F645*0.3,AND(J645="New",K645="Broker"),F645*0.1,AND(J645="New",K645="Owner"),F645*0,AND(J645="New",K645="Builder"),F645*0.5)</f>
        <v>1067952.7</v>
      </c>
    </row>
    <row r="646" spans="1:15" x14ac:dyDescent="0.3">
      <c r="A646" s="8" t="s">
        <v>702</v>
      </c>
      <c r="B646" s="4" t="s">
        <v>679</v>
      </c>
      <c r="C646" s="4" t="s">
        <v>691</v>
      </c>
      <c r="D646" s="4">
        <v>3</v>
      </c>
      <c r="E646" s="4">
        <v>903</v>
      </c>
      <c r="F646" s="4">
        <v>7453935</v>
      </c>
      <c r="G646" s="4">
        <v>3</v>
      </c>
      <c r="H646" s="4">
        <v>1</v>
      </c>
      <c r="I646" s="4" t="s">
        <v>27</v>
      </c>
      <c r="J646" s="4" t="s">
        <v>23</v>
      </c>
      <c r="K646" s="4" t="s">
        <v>24</v>
      </c>
      <c r="L646" s="9">
        <v>45863</v>
      </c>
      <c r="M646" s="9" t="str">
        <f>TEXT(Source_data[[#This Row],[Listing_Date]],"mmm-yy")</f>
        <v>Jul-25</v>
      </c>
      <c r="N646" s="4">
        <f t="shared" si="10"/>
        <v>8254.6345514950171</v>
      </c>
      <c r="O646" s="3" cm="1">
        <f t="array" ref="O646">_xlfn.IFS(AND(K646="Broker",J646="Resale"),F646*0.5,AND(K646="Owner",J646="Resale"),F646*0,AND(K646="Builder",J646="Resale"),F646*0.3,AND(J646="New",K646="Broker"),F646*0.1,AND(J646="New",K646="Owner"),F646*0,AND(J646="New",K646="Builder"),F646*0.5)</f>
        <v>2236180.5</v>
      </c>
    </row>
    <row r="647" spans="1:15" x14ac:dyDescent="0.3">
      <c r="A647" s="8" t="s">
        <v>703</v>
      </c>
      <c r="B647" s="4" t="s">
        <v>679</v>
      </c>
      <c r="C647" s="4" t="s">
        <v>682</v>
      </c>
      <c r="D647" s="4">
        <v>3</v>
      </c>
      <c r="E647" s="4">
        <v>1465</v>
      </c>
      <c r="F647" s="4">
        <v>12975365</v>
      </c>
      <c r="G647" s="4">
        <v>3</v>
      </c>
      <c r="H647" s="4">
        <v>3</v>
      </c>
      <c r="I647" s="4" t="s">
        <v>27</v>
      </c>
      <c r="J647" s="4" t="s">
        <v>19</v>
      </c>
      <c r="K647" s="4" t="s">
        <v>20</v>
      </c>
      <c r="L647" s="9">
        <v>45507</v>
      </c>
      <c r="M647" s="9" t="str">
        <f>TEXT(Source_data[[#This Row],[Listing_Date]],"mmm-yy")</f>
        <v>Aug-24</v>
      </c>
      <c r="N647" s="4">
        <f t="shared" si="10"/>
        <v>8856.904436860068</v>
      </c>
      <c r="O647" s="3" cm="1">
        <f t="array" ref="O647">_xlfn.IFS(AND(K647="Broker",J647="Resale"),F647*0.5,AND(K647="Owner",J647="Resale"),F647*0,AND(K647="Builder",J647="Resale"),F647*0.3,AND(J647="New",K647="Broker"),F647*0.1,AND(J647="New",K647="Owner"),F647*0,AND(J647="New",K647="Builder"),F647*0.5)</f>
        <v>1297536.5</v>
      </c>
    </row>
    <row r="648" spans="1:15" x14ac:dyDescent="0.3">
      <c r="A648" s="8" t="s">
        <v>704</v>
      </c>
      <c r="B648" s="4" t="s">
        <v>679</v>
      </c>
      <c r="C648" s="4" t="s">
        <v>691</v>
      </c>
      <c r="D648" s="4">
        <v>2</v>
      </c>
      <c r="E648" s="4">
        <v>1174</v>
      </c>
      <c r="F648" s="4">
        <v>12333471</v>
      </c>
      <c r="G648" s="4">
        <v>2</v>
      </c>
      <c r="H648" s="4">
        <v>1</v>
      </c>
      <c r="I648" s="4" t="s">
        <v>18</v>
      </c>
      <c r="J648" s="4" t="s">
        <v>19</v>
      </c>
      <c r="K648" s="4" t="s">
        <v>36</v>
      </c>
      <c r="L648" s="9">
        <v>45810</v>
      </c>
      <c r="M648" s="9" t="str">
        <f>TEXT(Source_data[[#This Row],[Listing_Date]],"mmm-yy")</f>
        <v>Jun-25</v>
      </c>
      <c r="N648" s="4">
        <f t="shared" si="10"/>
        <v>10505.511925042589</v>
      </c>
      <c r="O648" s="3" cm="1">
        <f t="array" ref="O648">_xlfn.IFS(AND(K648="Broker",J648="Resale"),F648*0.5,AND(K648="Owner",J648="Resale"),F648*0,AND(K648="Builder",J648="Resale"),F648*0.3,AND(J648="New",K648="Broker"),F648*0.1,AND(J648="New",K648="Owner"),F648*0,AND(J648="New",K648="Builder"),F648*0.5)</f>
        <v>0</v>
      </c>
    </row>
    <row r="649" spans="1:15" x14ac:dyDescent="0.3">
      <c r="A649" s="8" t="s">
        <v>705</v>
      </c>
      <c r="B649" s="4" t="s">
        <v>679</v>
      </c>
      <c r="C649" s="4" t="s">
        <v>686</v>
      </c>
      <c r="D649" s="4">
        <v>3</v>
      </c>
      <c r="E649" s="4">
        <v>1204</v>
      </c>
      <c r="F649" s="4">
        <v>7542228</v>
      </c>
      <c r="G649" s="4">
        <v>2</v>
      </c>
      <c r="H649" s="4">
        <v>2</v>
      </c>
      <c r="I649" s="4" t="s">
        <v>8</v>
      </c>
      <c r="J649" s="4" t="s">
        <v>23</v>
      </c>
      <c r="K649" s="4" t="s">
        <v>24</v>
      </c>
      <c r="L649" s="9">
        <v>45647</v>
      </c>
      <c r="M649" s="9" t="str">
        <f>TEXT(Source_data[[#This Row],[Listing_Date]],"mmm-yy")</f>
        <v>Dec-24</v>
      </c>
      <c r="N649" s="4">
        <f t="shared" si="10"/>
        <v>6264.3089700996679</v>
      </c>
      <c r="O649" s="3" cm="1">
        <f t="array" ref="O649">_xlfn.IFS(AND(K649="Broker",J649="Resale"),F649*0.5,AND(K649="Owner",J649="Resale"),F649*0,AND(K649="Builder",J649="Resale"),F649*0.3,AND(J649="New",K649="Broker"),F649*0.1,AND(J649="New",K649="Owner"),F649*0,AND(J649="New",K649="Builder"),F649*0.5)</f>
        <v>2262668.4</v>
      </c>
    </row>
    <row r="650" spans="1:15" x14ac:dyDescent="0.3">
      <c r="A650" s="8" t="s">
        <v>706</v>
      </c>
      <c r="B650" s="4" t="s">
        <v>679</v>
      </c>
      <c r="C650" s="4" t="s">
        <v>684</v>
      </c>
      <c r="D650" s="4">
        <v>1</v>
      </c>
      <c r="E650" s="4">
        <v>598</v>
      </c>
      <c r="F650" s="4">
        <v>6264142</v>
      </c>
      <c r="G650" s="4">
        <v>1</v>
      </c>
      <c r="H650" s="4">
        <v>1</v>
      </c>
      <c r="I650" s="4" t="s">
        <v>27</v>
      </c>
      <c r="J650" s="4" t="s">
        <v>23</v>
      </c>
      <c r="K650" s="4" t="s">
        <v>20</v>
      </c>
      <c r="L650" s="9">
        <v>45180</v>
      </c>
      <c r="M650" s="9" t="str">
        <f>TEXT(Source_data[[#This Row],[Listing_Date]],"mmm-yy")</f>
        <v>Sep-23</v>
      </c>
      <c r="N650" s="4">
        <f t="shared" si="10"/>
        <v>10475.153846153846</v>
      </c>
      <c r="O650" s="3" cm="1">
        <f t="array" ref="O650">_xlfn.IFS(AND(K650="Broker",J650="Resale"),F650*0.5,AND(K650="Owner",J650="Resale"),F650*0,AND(K650="Builder",J650="Resale"),F650*0.3,AND(J650="New",K650="Broker"),F650*0.1,AND(J650="New",K650="Owner"),F650*0,AND(J650="New",K650="Builder"),F650*0.5)</f>
        <v>3132071</v>
      </c>
    </row>
    <row r="651" spans="1:15" x14ac:dyDescent="0.3">
      <c r="A651" s="8" t="s">
        <v>707</v>
      </c>
      <c r="B651" s="4" t="s">
        <v>679</v>
      </c>
      <c r="C651" s="4" t="s">
        <v>684</v>
      </c>
      <c r="D651" s="4">
        <v>5</v>
      </c>
      <c r="E651" s="4">
        <v>2646</v>
      </c>
      <c r="F651" s="4">
        <v>18504644</v>
      </c>
      <c r="G651" s="4">
        <v>3</v>
      </c>
      <c r="H651" s="4">
        <v>4</v>
      </c>
      <c r="I651" s="4" t="s">
        <v>27</v>
      </c>
      <c r="J651" s="4" t="s">
        <v>19</v>
      </c>
      <c r="K651" s="4" t="s">
        <v>20</v>
      </c>
      <c r="L651" s="9">
        <v>45687</v>
      </c>
      <c r="M651" s="9" t="str">
        <f>TEXT(Source_data[[#This Row],[Listing_Date]],"mmm-yy")</f>
        <v>Jan-25</v>
      </c>
      <c r="N651" s="4">
        <f t="shared" si="10"/>
        <v>6993.4406651549507</v>
      </c>
      <c r="O651" s="3" cm="1">
        <f t="array" ref="O651">_xlfn.IFS(AND(K651="Broker",J651="Resale"),F651*0.5,AND(K651="Owner",J651="Resale"),F651*0,AND(K651="Builder",J651="Resale"),F651*0.3,AND(J651="New",K651="Broker"),F651*0.1,AND(J651="New",K651="Owner"),F651*0,AND(J651="New",K651="Builder"),F651*0.5)</f>
        <v>1850464.4000000001</v>
      </c>
    </row>
    <row r="652" spans="1:15" x14ac:dyDescent="0.3">
      <c r="A652" s="8" t="s">
        <v>708</v>
      </c>
      <c r="B652" s="4" t="s">
        <v>679</v>
      </c>
      <c r="C652" s="4" t="s">
        <v>686</v>
      </c>
      <c r="D652" s="4">
        <v>3</v>
      </c>
      <c r="E652" s="4">
        <v>1625</v>
      </c>
      <c r="F652" s="4">
        <v>12469291</v>
      </c>
      <c r="G652" s="4">
        <v>2</v>
      </c>
      <c r="H652" s="4">
        <v>2</v>
      </c>
      <c r="I652" s="4" t="s">
        <v>67</v>
      </c>
      <c r="J652" s="4" t="s">
        <v>23</v>
      </c>
      <c r="K652" s="4" t="s">
        <v>20</v>
      </c>
      <c r="L652" s="9">
        <v>45180</v>
      </c>
      <c r="M652" s="9" t="str">
        <f>TEXT(Source_data[[#This Row],[Listing_Date]],"mmm-yy")</f>
        <v>Sep-23</v>
      </c>
      <c r="N652" s="4">
        <f t="shared" si="10"/>
        <v>7673.409846153846</v>
      </c>
      <c r="O652" s="3" cm="1">
        <f t="array" ref="O652">_xlfn.IFS(AND(K652="Broker",J652="Resale"),F652*0.5,AND(K652="Owner",J652="Resale"),F652*0,AND(K652="Builder",J652="Resale"),F652*0.3,AND(J652="New",K652="Broker"),F652*0.1,AND(J652="New",K652="Owner"),F652*0,AND(J652="New",K652="Builder"),F652*0.5)</f>
        <v>6234645.5</v>
      </c>
    </row>
    <row r="653" spans="1:15" x14ac:dyDescent="0.3">
      <c r="A653" s="8" t="s">
        <v>709</v>
      </c>
      <c r="B653" s="4" t="s">
        <v>679</v>
      </c>
      <c r="C653" s="4" t="s">
        <v>686</v>
      </c>
      <c r="D653" s="4">
        <v>2</v>
      </c>
      <c r="E653" s="4">
        <v>852</v>
      </c>
      <c r="F653" s="4">
        <v>6493418</v>
      </c>
      <c r="G653" s="4">
        <v>3</v>
      </c>
      <c r="H653" s="4">
        <v>1</v>
      </c>
      <c r="I653" s="4" t="s">
        <v>27</v>
      </c>
      <c r="J653" s="4" t="s">
        <v>23</v>
      </c>
      <c r="K653" s="4" t="s">
        <v>20</v>
      </c>
      <c r="L653" s="9">
        <v>45049</v>
      </c>
      <c r="M653" s="9" t="str">
        <f>TEXT(Source_data[[#This Row],[Listing_Date]],"mmm-yy")</f>
        <v>May-23</v>
      </c>
      <c r="N653" s="4">
        <f t="shared" si="10"/>
        <v>7621.3826291079813</v>
      </c>
      <c r="O653" s="3" cm="1">
        <f t="array" ref="O653">_xlfn.IFS(AND(K653="Broker",J653="Resale"),F653*0.5,AND(K653="Owner",J653="Resale"),F653*0,AND(K653="Builder",J653="Resale"),F653*0.3,AND(J653="New",K653="Broker"),F653*0.1,AND(J653="New",K653="Owner"),F653*0,AND(J653="New",K653="Builder"),F653*0.5)</f>
        <v>3246709</v>
      </c>
    </row>
    <row r="654" spans="1:15" x14ac:dyDescent="0.3">
      <c r="A654" s="8" t="s">
        <v>710</v>
      </c>
      <c r="B654" s="4" t="s">
        <v>679</v>
      </c>
      <c r="C654" s="4" t="s">
        <v>684</v>
      </c>
      <c r="D654" s="4">
        <v>2</v>
      </c>
      <c r="E654" s="4">
        <v>924</v>
      </c>
      <c r="F654" s="4">
        <v>8862286</v>
      </c>
      <c r="G654" s="4">
        <v>2</v>
      </c>
      <c r="H654" s="4">
        <v>4</v>
      </c>
      <c r="I654" s="4" t="s">
        <v>27</v>
      </c>
      <c r="J654" s="4" t="s">
        <v>23</v>
      </c>
      <c r="K654" s="4" t="s">
        <v>20</v>
      </c>
      <c r="L654" s="9">
        <v>45384</v>
      </c>
      <c r="M654" s="9" t="str">
        <f>TEXT(Source_data[[#This Row],[Listing_Date]],"mmm-yy")</f>
        <v>Apr-24</v>
      </c>
      <c r="N654" s="4">
        <f t="shared" si="10"/>
        <v>9591.2186147186148</v>
      </c>
      <c r="O654" s="3" cm="1">
        <f t="array" ref="O654">_xlfn.IFS(AND(K654="Broker",J654="Resale"),F654*0.5,AND(K654="Owner",J654="Resale"),F654*0,AND(K654="Builder",J654="Resale"),F654*0.3,AND(J654="New",K654="Broker"),F654*0.1,AND(J654="New",K654="Owner"),F654*0,AND(J654="New",K654="Builder"),F654*0.5)</f>
        <v>4431143</v>
      </c>
    </row>
    <row r="655" spans="1:15" x14ac:dyDescent="0.3">
      <c r="A655" s="8" t="s">
        <v>711</v>
      </c>
      <c r="B655" s="4" t="s">
        <v>679</v>
      </c>
      <c r="C655" s="4" t="s">
        <v>680</v>
      </c>
      <c r="D655" s="4">
        <v>2</v>
      </c>
      <c r="E655" s="4">
        <v>417</v>
      </c>
      <c r="F655" s="4">
        <v>3108351</v>
      </c>
      <c r="G655" s="4">
        <v>2</v>
      </c>
      <c r="H655" s="4">
        <v>2</v>
      </c>
      <c r="I655" s="4" t="s">
        <v>18</v>
      </c>
      <c r="J655" s="4" t="s">
        <v>19</v>
      </c>
      <c r="K655" s="4" t="s">
        <v>24</v>
      </c>
      <c r="L655" s="9">
        <v>45552</v>
      </c>
      <c r="M655" s="9" t="str">
        <f>TEXT(Source_data[[#This Row],[Listing_Date]],"mmm-yy")</f>
        <v>Sep-24</v>
      </c>
      <c r="N655" s="4">
        <f t="shared" si="10"/>
        <v>7454.0791366906478</v>
      </c>
      <c r="O655" s="3" cm="1">
        <f t="array" ref="O655">_xlfn.IFS(AND(K655="Broker",J655="Resale"),F655*0.5,AND(K655="Owner",J655="Resale"),F655*0,AND(K655="Builder",J655="Resale"),F655*0.3,AND(J655="New",K655="Broker"),F655*0.1,AND(J655="New",K655="Owner"),F655*0,AND(J655="New",K655="Builder"),F655*0.5)</f>
        <v>1554175.5</v>
      </c>
    </row>
    <row r="656" spans="1:15" x14ac:dyDescent="0.3">
      <c r="A656" s="8" t="s">
        <v>712</v>
      </c>
      <c r="B656" s="4" t="s">
        <v>679</v>
      </c>
      <c r="C656" s="4" t="s">
        <v>684</v>
      </c>
      <c r="D656" s="4">
        <v>3</v>
      </c>
      <c r="E656" s="4">
        <v>1516</v>
      </c>
      <c r="F656" s="4">
        <v>11655894</v>
      </c>
      <c r="G656" s="4">
        <v>3</v>
      </c>
      <c r="H656" s="4">
        <v>1</v>
      </c>
      <c r="I656" s="4" t="s">
        <v>18</v>
      </c>
      <c r="J656" s="4" t="s">
        <v>19</v>
      </c>
      <c r="K656" s="4" t="s">
        <v>20</v>
      </c>
      <c r="L656" s="9">
        <v>45456</v>
      </c>
      <c r="M656" s="9" t="str">
        <f>TEXT(Source_data[[#This Row],[Listing_Date]],"mmm-yy")</f>
        <v>Jun-24</v>
      </c>
      <c r="N656" s="4">
        <f t="shared" si="10"/>
        <v>7688.5844327176783</v>
      </c>
      <c r="O656" s="3" cm="1">
        <f t="array" ref="O656">_xlfn.IFS(AND(K656="Broker",J656="Resale"),F656*0.5,AND(K656="Owner",J656="Resale"),F656*0,AND(K656="Builder",J656="Resale"),F656*0.3,AND(J656="New",K656="Broker"),F656*0.1,AND(J656="New",K656="Owner"),F656*0,AND(J656="New",K656="Builder"),F656*0.5)</f>
        <v>1165589.4000000001</v>
      </c>
    </row>
    <row r="657" spans="1:15" x14ac:dyDescent="0.3">
      <c r="A657" s="8" t="s">
        <v>713</v>
      </c>
      <c r="B657" s="4" t="s">
        <v>679</v>
      </c>
      <c r="C657" s="4" t="s">
        <v>691</v>
      </c>
      <c r="D657" s="4">
        <v>2</v>
      </c>
      <c r="E657" s="4">
        <v>841</v>
      </c>
      <c r="F657" s="4">
        <v>6855700</v>
      </c>
      <c r="G657" s="4">
        <v>2</v>
      </c>
      <c r="H657" s="4">
        <v>2</v>
      </c>
      <c r="I657" s="4" t="s">
        <v>8</v>
      </c>
      <c r="J657" s="4" t="s">
        <v>23</v>
      </c>
      <c r="K657" s="4" t="s">
        <v>36</v>
      </c>
      <c r="L657" s="9">
        <v>45226</v>
      </c>
      <c r="M657" s="9" t="str">
        <f>TEXT(Source_data[[#This Row],[Listing_Date]],"mmm-yy")</f>
        <v>Oct-23</v>
      </c>
      <c r="N657" s="4">
        <f t="shared" si="10"/>
        <v>8151.8430439952435</v>
      </c>
      <c r="O657" s="3" cm="1">
        <f t="array" ref="O657">_xlfn.IFS(AND(K657="Broker",J657="Resale"),F657*0.5,AND(K657="Owner",J657="Resale"),F657*0,AND(K657="Builder",J657="Resale"),F657*0.3,AND(J657="New",K657="Broker"),F657*0.1,AND(J657="New",K657="Owner"),F657*0,AND(J657="New",K657="Builder"),F657*0.5)</f>
        <v>0</v>
      </c>
    </row>
    <row r="658" spans="1:15" x14ac:dyDescent="0.3">
      <c r="A658" s="8" t="s">
        <v>714</v>
      </c>
      <c r="B658" s="4" t="s">
        <v>679</v>
      </c>
      <c r="C658" s="4" t="s">
        <v>686</v>
      </c>
      <c r="D658" s="4">
        <v>2</v>
      </c>
      <c r="E658" s="4">
        <v>1366</v>
      </c>
      <c r="F658" s="4">
        <v>8074179</v>
      </c>
      <c r="G658" s="4">
        <v>1</v>
      </c>
      <c r="H658" s="4">
        <v>2</v>
      </c>
      <c r="I658" s="4" t="s">
        <v>18</v>
      </c>
      <c r="J658" s="4" t="s">
        <v>23</v>
      </c>
      <c r="K658" s="4" t="s">
        <v>20</v>
      </c>
      <c r="L658" s="9">
        <v>45049</v>
      </c>
      <c r="M658" s="9" t="str">
        <f>TEXT(Source_data[[#This Row],[Listing_Date]],"mmm-yy")</f>
        <v>May-23</v>
      </c>
      <c r="N658" s="4">
        <f t="shared" si="10"/>
        <v>5910.8191800878476</v>
      </c>
      <c r="O658" s="3" cm="1">
        <f t="array" ref="O658">_xlfn.IFS(AND(K658="Broker",J658="Resale"),F658*0.5,AND(K658="Owner",J658="Resale"),F658*0,AND(K658="Builder",J658="Resale"),F658*0.3,AND(J658="New",K658="Broker"),F658*0.1,AND(J658="New",K658="Owner"),F658*0,AND(J658="New",K658="Builder"),F658*0.5)</f>
        <v>4037089.5</v>
      </c>
    </row>
    <row r="659" spans="1:15" x14ac:dyDescent="0.3">
      <c r="A659" s="8" t="s">
        <v>715</v>
      </c>
      <c r="B659" s="4" t="s">
        <v>679</v>
      </c>
      <c r="C659" s="4" t="s">
        <v>680</v>
      </c>
      <c r="D659" s="4">
        <v>3</v>
      </c>
      <c r="E659" s="4">
        <v>1160</v>
      </c>
      <c r="F659" s="4">
        <v>9976942</v>
      </c>
      <c r="G659" s="4">
        <v>3</v>
      </c>
      <c r="H659" s="4">
        <v>0</v>
      </c>
      <c r="I659" s="4" t="s">
        <v>27</v>
      </c>
      <c r="J659" s="4" t="s">
        <v>23</v>
      </c>
      <c r="K659" s="4" t="s">
        <v>20</v>
      </c>
      <c r="L659" s="9">
        <v>45739</v>
      </c>
      <c r="M659" s="9" t="str">
        <f>TEXT(Source_data[[#This Row],[Listing_Date]],"mmm-yy")</f>
        <v>Mar-25</v>
      </c>
      <c r="N659" s="4">
        <f t="shared" si="10"/>
        <v>8600.812068965517</v>
      </c>
      <c r="O659" s="3" cm="1">
        <f t="array" ref="O659">_xlfn.IFS(AND(K659="Broker",J659="Resale"),F659*0.5,AND(K659="Owner",J659="Resale"),F659*0,AND(K659="Builder",J659="Resale"),F659*0.3,AND(J659="New",K659="Broker"),F659*0.1,AND(J659="New",K659="Owner"),F659*0,AND(J659="New",K659="Builder"),F659*0.5)</f>
        <v>4988471</v>
      </c>
    </row>
    <row r="660" spans="1:15" x14ac:dyDescent="0.3">
      <c r="A660" s="8" t="s">
        <v>716</v>
      </c>
      <c r="B660" s="4" t="s">
        <v>679</v>
      </c>
      <c r="C660" s="4" t="s">
        <v>682</v>
      </c>
      <c r="D660" s="4">
        <v>4</v>
      </c>
      <c r="E660" s="4">
        <v>1262</v>
      </c>
      <c r="F660" s="4">
        <v>33414845</v>
      </c>
      <c r="G660" s="4">
        <v>3</v>
      </c>
      <c r="H660" s="4">
        <v>0</v>
      </c>
      <c r="I660" s="4" t="s">
        <v>27</v>
      </c>
      <c r="J660" s="4" t="s">
        <v>23</v>
      </c>
      <c r="K660" s="4" t="s">
        <v>36</v>
      </c>
      <c r="L660" s="9">
        <v>45323</v>
      </c>
      <c r="M660" s="9" t="str">
        <f>TEXT(Source_data[[#This Row],[Listing_Date]],"mmm-yy")</f>
        <v>Feb-24</v>
      </c>
      <c r="N660" s="4">
        <f t="shared" si="10"/>
        <v>26477.690174326464</v>
      </c>
      <c r="O660" s="3" cm="1">
        <f t="array" ref="O660">_xlfn.IFS(AND(K660="Broker",J660="Resale"),F660*0.5,AND(K660="Owner",J660="Resale"),F660*0,AND(K660="Builder",J660="Resale"),F660*0.3,AND(J660="New",K660="Broker"),F660*0.1,AND(J660="New",K660="Owner"),F660*0,AND(J660="New",K660="Builder"),F660*0.5)</f>
        <v>0</v>
      </c>
    </row>
    <row r="661" spans="1:15" x14ac:dyDescent="0.3">
      <c r="A661" s="8" t="s">
        <v>717</v>
      </c>
      <c r="B661" s="4" t="s">
        <v>679</v>
      </c>
      <c r="C661" s="4" t="s">
        <v>682</v>
      </c>
      <c r="D661" s="4">
        <v>2</v>
      </c>
      <c r="E661" s="4">
        <v>986</v>
      </c>
      <c r="F661" s="4">
        <v>9433585</v>
      </c>
      <c r="G661" s="4">
        <v>3</v>
      </c>
      <c r="H661" s="4">
        <v>1</v>
      </c>
      <c r="I661" s="4" t="s">
        <v>18</v>
      </c>
      <c r="J661" s="4" t="s">
        <v>23</v>
      </c>
      <c r="K661" s="4" t="s">
        <v>36</v>
      </c>
      <c r="L661" s="9">
        <v>45185</v>
      </c>
      <c r="M661" s="9" t="str">
        <f>TEXT(Source_data[[#This Row],[Listing_Date]],"mmm-yy")</f>
        <v>Sep-23</v>
      </c>
      <c r="N661" s="4">
        <f t="shared" si="10"/>
        <v>9567.5304259634886</v>
      </c>
      <c r="O661" s="3" cm="1">
        <f t="array" ref="O661">_xlfn.IFS(AND(K661="Broker",J661="Resale"),F661*0.5,AND(K661="Owner",J661="Resale"),F661*0,AND(K661="Builder",J661="Resale"),F661*0.3,AND(J661="New",K661="Broker"),F661*0.1,AND(J661="New",K661="Owner"),F661*0,AND(J661="New",K661="Builder"),F661*0.5)</f>
        <v>0</v>
      </c>
    </row>
    <row r="662" spans="1:15" x14ac:dyDescent="0.3">
      <c r="A662" s="8" t="s">
        <v>718</v>
      </c>
      <c r="B662" s="4" t="s">
        <v>679</v>
      </c>
      <c r="C662" s="4" t="s">
        <v>698</v>
      </c>
      <c r="D662" s="4">
        <v>3</v>
      </c>
      <c r="E662" s="4">
        <v>1892</v>
      </c>
      <c r="F662" s="4">
        <v>15966852</v>
      </c>
      <c r="G662" s="4">
        <v>3</v>
      </c>
      <c r="H662" s="4">
        <v>2</v>
      </c>
      <c r="I662" s="4" t="s">
        <v>18</v>
      </c>
      <c r="J662" s="4" t="s">
        <v>23</v>
      </c>
      <c r="K662" s="4" t="s">
        <v>20</v>
      </c>
      <c r="L662" s="9">
        <v>45106</v>
      </c>
      <c r="M662" s="9" t="str">
        <f>TEXT(Source_data[[#This Row],[Listing_Date]],"mmm-yy")</f>
        <v>Jun-23</v>
      </c>
      <c r="N662" s="4">
        <f t="shared" si="10"/>
        <v>8439.1395348837214</v>
      </c>
      <c r="O662" s="3" cm="1">
        <f t="array" ref="O662">_xlfn.IFS(AND(K662="Broker",J662="Resale"),F662*0.5,AND(K662="Owner",J662="Resale"),F662*0,AND(K662="Builder",J662="Resale"),F662*0.3,AND(J662="New",K662="Broker"),F662*0.1,AND(J662="New",K662="Owner"),F662*0,AND(J662="New",K662="Builder"),F662*0.5)</f>
        <v>7983426</v>
      </c>
    </row>
    <row r="663" spans="1:15" x14ac:dyDescent="0.3">
      <c r="A663" s="8" t="s">
        <v>719</v>
      </c>
      <c r="B663" s="4" t="s">
        <v>679</v>
      </c>
      <c r="C663" s="4" t="s">
        <v>686</v>
      </c>
      <c r="D663" s="4">
        <v>4</v>
      </c>
      <c r="E663" s="4">
        <v>2124</v>
      </c>
      <c r="F663" s="4">
        <v>12057346</v>
      </c>
      <c r="G663" s="4">
        <v>4</v>
      </c>
      <c r="H663" s="4">
        <v>2</v>
      </c>
      <c r="I663" s="4" t="s">
        <v>18</v>
      </c>
      <c r="J663" s="4" t="s">
        <v>23</v>
      </c>
      <c r="K663" s="4" t="s">
        <v>20</v>
      </c>
      <c r="L663" s="9">
        <v>45412</v>
      </c>
      <c r="M663" s="9" t="str">
        <f>TEXT(Source_data[[#This Row],[Listing_Date]],"mmm-yy")</f>
        <v>Apr-24</v>
      </c>
      <c r="N663" s="4">
        <f t="shared" si="10"/>
        <v>5676.716572504708</v>
      </c>
      <c r="O663" s="3" cm="1">
        <f t="array" ref="O663">_xlfn.IFS(AND(K663="Broker",J663="Resale"),F663*0.5,AND(K663="Owner",J663="Resale"),F663*0,AND(K663="Builder",J663="Resale"),F663*0.3,AND(J663="New",K663="Broker"),F663*0.1,AND(J663="New",K663="Owner"),F663*0,AND(J663="New",K663="Builder"),F663*0.5)</f>
        <v>6028673</v>
      </c>
    </row>
    <row r="664" spans="1:15" x14ac:dyDescent="0.3">
      <c r="A664" s="8" t="s">
        <v>720</v>
      </c>
      <c r="B664" s="4" t="s">
        <v>679</v>
      </c>
      <c r="C664" s="4" t="s">
        <v>682</v>
      </c>
      <c r="D664" s="4">
        <v>3</v>
      </c>
      <c r="E664" s="4">
        <v>1490</v>
      </c>
      <c r="F664" s="4">
        <v>13210618</v>
      </c>
      <c r="G664" s="4">
        <v>3</v>
      </c>
      <c r="H664" s="4">
        <v>2</v>
      </c>
      <c r="I664" s="4" t="s">
        <v>27</v>
      </c>
      <c r="J664" s="4" t="s">
        <v>19</v>
      </c>
      <c r="K664" s="4" t="s">
        <v>36</v>
      </c>
      <c r="L664" s="9">
        <v>45888</v>
      </c>
      <c r="M664" s="9" t="str">
        <f>TEXT(Source_data[[#This Row],[Listing_Date]],"mmm-yy")</f>
        <v>Aug-25</v>
      </c>
      <c r="N664" s="4">
        <f t="shared" si="10"/>
        <v>8866.1865771812081</v>
      </c>
      <c r="O664" s="3" cm="1">
        <f t="array" ref="O664">_xlfn.IFS(AND(K664="Broker",J664="Resale"),F664*0.5,AND(K664="Owner",J664="Resale"),F664*0,AND(K664="Builder",J664="Resale"),F664*0.3,AND(J664="New",K664="Broker"),F664*0.1,AND(J664="New",K664="Owner"),F664*0,AND(J664="New",K664="Builder"),F664*0.5)</f>
        <v>0</v>
      </c>
    </row>
    <row r="665" spans="1:15" x14ac:dyDescent="0.3">
      <c r="A665" s="8" t="s">
        <v>721</v>
      </c>
      <c r="B665" s="4" t="s">
        <v>679</v>
      </c>
      <c r="C665" s="4" t="s">
        <v>682</v>
      </c>
      <c r="D665" s="4">
        <v>3</v>
      </c>
      <c r="E665" s="4">
        <v>1305</v>
      </c>
      <c r="F665" s="4">
        <v>10775056</v>
      </c>
      <c r="G665" s="4">
        <v>3</v>
      </c>
      <c r="H665" s="4">
        <v>1</v>
      </c>
      <c r="I665" s="4" t="s">
        <v>67</v>
      </c>
      <c r="J665" s="4" t="s">
        <v>23</v>
      </c>
      <c r="K665" s="4" t="s">
        <v>36</v>
      </c>
      <c r="L665" s="9">
        <v>45813</v>
      </c>
      <c r="M665" s="9" t="str">
        <f>TEXT(Source_data[[#This Row],[Listing_Date]],"mmm-yy")</f>
        <v>Jun-25</v>
      </c>
      <c r="N665" s="4">
        <f t="shared" si="10"/>
        <v>8256.7478927203065</v>
      </c>
      <c r="O665" s="3" cm="1">
        <f t="array" ref="O665">_xlfn.IFS(AND(K665="Broker",J665="Resale"),F665*0.5,AND(K665="Owner",J665="Resale"),F665*0,AND(K665="Builder",J665="Resale"),F665*0.3,AND(J665="New",K665="Broker"),F665*0.1,AND(J665="New",K665="Owner"),F665*0,AND(J665="New",K665="Builder"),F665*0.5)</f>
        <v>0</v>
      </c>
    </row>
    <row r="666" spans="1:15" x14ac:dyDescent="0.3">
      <c r="A666" s="8" t="s">
        <v>722</v>
      </c>
      <c r="B666" s="4" t="s">
        <v>679</v>
      </c>
      <c r="C666" s="4" t="s">
        <v>698</v>
      </c>
      <c r="D666" s="4">
        <v>3</v>
      </c>
      <c r="E666" s="4">
        <v>988</v>
      </c>
      <c r="F666" s="4">
        <v>8809355</v>
      </c>
      <c r="G666" s="4">
        <v>3</v>
      </c>
      <c r="H666" s="4">
        <v>0</v>
      </c>
      <c r="I666" s="4" t="s">
        <v>27</v>
      </c>
      <c r="J666" s="4" t="s">
        <v>23</v>
      </c>
      <c r="K666" s="4" t="s">
        <v>36</v>
      </c>
      <c r="L666" s="9">
        <v>45799</v>
      </c>
      <c r="M666" s="9" t="str">
        <f>TEXT(Source_data[[#This Row],[Listing_Date]],"mmm-yy")</f>
        <v>May-25</v>
      </c>
      <c r="N666" s="4">
        <f t="shared" si="10"/>
        <v>8916.3512145748991</v>
      </c>
      <c r="O666" s="3" cm="1">
        <f t="array" ref="O666">_xlfn.IFS(AND(K666="Broker",J666="Resale"),F666*0.5,AND(K666="Owner",J666="Resale"),F666*0,AND(K666="Builder",J666="Resale"),F666*0.3,AND(J666="New",K666="Broker"),F666*0.1,AND(J666="New",K666="Owner"),F666*0,AND(J666="New",K666="Builder"),F666*0.5)</f>
        <v>0</v>
      </c>
    </row>
    <row r="667" spans="1:15" x14ac:dyDescent="0.3">
      <c r="A667" s="8" t="s">
        <v>723</v>
      </c>
      <c r="B667" s="4" t="s">
        <v>679</v>
      </c>
      <c r="C667" s="4" t="s">
        <v>698</v>
      </c>
      <c r="D667" s="4">
        <v>2</v>
      </c>
      <c r="E667" s="4">
        <v>1190</v>
      </c>
      <c r="F667" s="4">
        <v>8721365</v>
      </c>
      <c r="G667" s="4">
        <v>2</v>
      </c>
      <c r="H667" s="4">
        <v>2</v>
      </c>
      <c r="I667" s="4" t="s">
        <v>27</v>
      </c>
      <c r="J667" s="4" t="s">
        <v>19</v>
      </c>
      <c r="K667" s="4" t="s">
        <v>20</v>
      </c>
      <c r="L667" s="9">
        <v>45486</v>
      </c>
      <c r="M667" s="9" t="str">
        <f>TEXT(Source_data[[#This Row],[Listing_Date]],"mmm-yy")</f>
        <v>Jul-24</v>
      </c>
      <c r="N667" s="4">
        <f t="shared" si="10"/>
        <v>7328.8781512605046</v>
      </c>
      <c r="O667" s="3" cm="1">
        <f t="array" ref="O667">_xlfn.IFS(AND(K667="Broker",J667="Resale"),F667*0.5,AND(K667="Owner",J667="Resale"),F667*0,AND(K667="Builder",J667="Resale"),F667*0.3,AND(J667="New",K667="Broker"),F667*0.1,AND(J667="New",K667="Owner"),F667*0,AND(J667="New",K667="Builder"),F667*0.5)</f>
        <v>872136.5</v>
      </c>
    </row>
    <row r="668" spans="1:15" x14ac:dyDescent="0.3">
      <c r="A668" s="8" t="s">
        <v>724</v>
      </c>
      <c r="B668" s="4" t="s">
        <v>679</v>
      </c>
      <c r="C668" s="4" t="s">
        <v>691</v>
      </c>
      <c r="D668" s="4">
        <v>4</v>
      </c>
      <c r="E668" s="4">
        <v>1154</v>
      </c>
      <c r="F668" s="4">
        <v>10483575</v>
      </c>
      <c r="G668" s="4">
        <v>3</v>
      </c>
      <c r="H668" s="4">
        <v>1</v>
      </c>
      <c r="I668" s="4" t="s">
        <v>18</v>
      </c>
      <c r="J668" s="4" t="s">
        <v>19</v>
      </c>
      <c r="K668" s="4" t="s">
        <v>20</v>
      </c>
      <c r="L668" s="9">
        <v>45082</v>
      </c>
      <c r="M668" s="9" t="str">
        <f>TEXT(Source_data[[#This Row],[Listing_Date]],"mmm-yy")</f>
        <v>Jun-23</v>
      </c>
      <c r="N668" s="4">
        <f t="shared" si="10"/>
        <v>9084.5537261698446</v>
      </c>
      <c r="O668" s="3" cm="1">
        <f t="array" ref="O668">_xlfn.IFS(AND(K668="Broker",J668="Resale"),F668*0.5,AND(K668="Owner",J668="Resale"),F668*0,AND(K668="Builder",J668="Resale"),F668*0.3,AND(J668="New",K668="Broker"),F668*0.1,AND(J668="New",K668="Owner"),F668*0,AND(J668="New",K668="Builder"),F668*0.5)</f>
        <v>1048357.5</v>
      </c>
    </row>
    <row r="669" spans="1:15" x14ac:dyDescent="0.3">
      <c r="A669" s="8" t="s">
        <v>725</v>
      </c>
      <c r="B669" s="4" t="s">
        <v>679</v>
      </c>
      <c r="C669" s="4" t="s">
        <v>684</v>
      </c>
      <c r="D669" s="4">
        <v>3</v>
      </c>
      <c r="E669" s="4">
        <v>1330</v>
      </c>
      <c r="F669" s="4">
        <v>9560873</v>
      </c>
      <c r="G669" s="4">
        <v>3</v>
      </c>
      <c r="H669" s="4">
        <v>3</v>
      </c>
      <c r="I669" s="4" t="s">
        <v>8</v>
      </c>
      <c r="J669" s="4" t="s">
        <v>23</v>
      </c>
      <c r="K669" s="4" t="s">
        <v>24</v>
      </c>
      <c r="L669" s="9">
        <v>45070</v>
      </c>
      <c r="M669" s="9" t="str">
        <f>TEXT(Source_data[[#This Row],[Listing_Date]],"mmm-yy")</f>
        <v>May-23</v>
      </c>
      <c r="N669" s="4">
        <f t="shared" si="10"/>
        <v>7188.6263157894737</v>
      </c>
      <c r="O669" s="3" cm="1">
        <f t="array" ref="O669">_xlfn.IFS(AND(K669="Broker",J669="Resale"),F669*0.5,AND(K669="Owner",J669="Resale"),F669*0,AND(K669="Builder",J669="Resale"),F669*0.3,AND(J669="New",K669="Broker"),F669*0.1,AND(J669="New",K669="Owner"),F669*0,AND(J669="New",K669="Builder"),F669*0.5)</f>
        <v>2868261.9</v>
      </c>
    </row>
    <row r="670" spans="1:15" x14ac:dyDescent="0.3">
      <c r="A670" s="8" t="s">
        <v>726</v>
      </c>
      <c r="B670" s="4" t="s">
        <v>679</v>
      </c>
      <c r="C670" s="4" t="s">
        <v>686</v>
      </c>
      <c r="D670" s="4">
        <v>3</v>
      </c>
      <c r="E670" s="4">
        <v>882</v>
      </c>
      <c r="F670" s="4">
        <v>7408451</v>
      </c>
      <c r="G670" s="4">
        <v>2</v>
      </c>
      <c r="H670" s="4">
        <v>3</v>
      </c>
      <c r="I670" s="4" t="s">
        <v>27</v>
      </c>
      <c r="J670" s="4" t="s">
        <v>19</v>
      </c>
      <c r="K670" s="4" t="s">
        <v>20</v>
      </c>
      <c r="L670" s="9">
        <v>45349</v>
      </c>
      <c r="M670" s="9" t="str">
        <f>TEXT(Source_data[[#This Row],[Listing_Date]],"mmm-yy")</f>
        <v>Feb-24</v>
      </c>
      <c r="N670" s="4">
        <f t="shared" si="10"/>
        <v>8399.6043083900222</v>
      </c>
      <c r="O670" s="3" cm="1">
        <f t="array" ref="O670">_xlfn.IFS(AND(K670="Broker",J670="Resale"),F670*0.5,AND(K670="Owner",J670="Resale"),F670*0,AND(K670="Builder",J670="Resale"),F670*0.3,AND(J670="New",K670="Broker"),F670*0.1,AND(J670="New",K670="Owner"),F670*0,AND(J670="New",K670="Builder"),F670*0.5)</f>
        <v>740845.10000000009</v>
      </c>
    </row>
    <row r="671" spans="1:15" x14ac:dyDescent="0.3">
      <c r="A671" s="8" t="s">
        <v>727</v>
      </c>
      <c r="B671" s="4" t="s">
        <v>679</v>
      </c>
      <c r="C671" s="4" t="s">
        <v>682</v>
      </c>
      <c r="D671" s="4">
        <v>4</v>
      </c>
      <c r="E671" s="4">
        <v>2440</v>
      </c>
      <c r="F671" s="4">
        <v>20415700</v>
      </c>
      <c r="G671" s="4">
        <v>3</v>
      </c>
      <c r="H671" s="4">
        <v>2</v>
      </c>
      <c r="I671" s="4" t="s">
        <v>27</v>
      </c>
      <c r="J671" s="4" t="s">
        <v>19</v>
      </c>
      <c r="K671" s="4" t="s">
        <v>24</v>
      </c>
      <c r="L671" s="9">
        <v>45698</v>
      </c>
      <c r="M671" s="9" t="str">
        <f>TEXT(Source_data[[#This Row],[Listing_Date]],"mmm-yy")</f>
        <v>Feb-25</v>
      </c>
      <c r="N671" s="4">
        <f t="shared" si="10"/>
        <v>8367.0901639344265</v>
      </c>
      <c r="O671" s="3" cm="1">
        <f t="array" ref="O671">_xlfn.IFS(AND(K671="Broker",J671="Resale"),F671*0.5,AND(K671="Owner",J671="Resale"),F671*0,AND(K671="Builder",J671="Resale"),F671*0.3,AND(J671="New",K671="Broker"),F671*0.1,AND(J671="New",K671="Owner"),F671*0,AND(J671="New",K671="Builder"),F671*0.5)</f>
        <v>10207850</v>
      </c>
    </row>
    <row r="672" spans="1:15" x14ac:dyDescent="0.3">
      <c r="A672" s="8" t="s">
        <v>728</v>
      </c>
      <c r="B672" s="4" t="s">
        <v>679</v>
      </c>
      <c r="C672" s="4" t="s">
        <v>684</v>
      </c>
      <c r="D672" s="4">
        <v>3</v>
      </c>
      <c r="E672" s="4">
        <v>698</v>
      </c>
      <c r="F672" s="4">
        <v>6385998</v>
      </c>
      <c r="G672" s="4">
        <v>2</v>
      </c>
      <c r="H672" s="4">
        <v>1</v>
      </c>
      <c r="I672" s="4" t="s">
        <v>27</v>
      </c>
      <c r="J672" s="4" t="s">
        <v>23</v>
      </c>
      <c r="K672" s="4" t="s">
        <v>20</v>
      </c>
      <c r="L672" s="9">
        <v>45175</v>
      </c>
      <c r="M672" s="9" t="str">
        <f>TEXT(Source_data[[#This Row],[Listing_Date]],"mmm-yy")</f>
        <v>Sep-23</v>
      </c>
      <c r="N672" s="4">
        <f t="shared" si="10"/>
        <v>9148.9942693409739</v>
      </c>
      <c r="O672" s="3" cm="1">
        <f t="array" ref="O672">_xlfn.IFS(AND(K672="Broker",J672="Resale"),F672*0.5,AND(K672="Owner",J672="Resale"),F672*0,AND(K672="Builder",J672="Resale"),F672*0.3,AND(J672="New",K672="Broker"),F672*0.1,AND(J672="New",K672="Owner"),F672*0,AND(J672="New",K672="Builder"),F672*0.5)</f>
        <v>3192999</v>
      </c>
    </row>
    <row r="673" spans="1:15" x14ac:dyDescent="0.3">
      <c r="A673" s="8" t="s">
        <v>729</v>
      </c>
      <c r="B673" s="4" t="s">
        <v>679</v>
      </c>
      <c r="C673" s="4" t="s">
        <v>684</v>
      </c>
      <c r="D673" s="4">
        <v>5</v>
      </c>
      <c r="E673" s="4">
        <v>3579</v>
      </c>
      <c r="F673" s="4">
        <v>32630666</v>
      </c>
      <c r="G673" s="4">
        <v>4</v>
      </c>
      <c r="H673" s="4">
        <v>1</v>
      </c>
      <c r="I673" s="4" t="s">
        <v>18</v>
      </c>
      <c r="J673" s="4" t="s">
        <v>19</v>
      </c>
      <c r="K673" s="4" t="s">
        <v>24</v>
      </c>
      <c r="L673" s="9">
        <v>45184</v>
      </c>
      <c r="M673" s="9" t="str">
        <f>TEXT(Source_data[[#This Row],[Listing_Date]],"mmm-yy")</f>
        <v>Sep-23</v>
      </c>
      <c r="N673" s="4">
        <f t="shared" si="10"/>
        <v>9117.2578932662764</v>
      </c>
      <c r="O673" s="3" cm="1">
        <f t="array" ref="O673">_xlfn.IFS(AND(K673="Broker",J673="Resale"),F673*0.5,AND(K673="Owner",J673="Resale"),F673*0,AND(K673="Builder",J673="Resale"),F673*0.3,AND(J673="New",K673="Broker"),F673*0.1,AND(J673="New",K673="Owner"),F673*0,AND(J673="New",K673="Builder"),F673*0.5)</f>
        <v>16315333</v>
      </c>
    </row>
    <row r="674" spans="1:15" x14ac:dyDescent="0.3">
      <c r="A674" s="8" t="s">
        <v>730</v>
      </c>
      <c r="B674" s="4" t="s">
        <v>679</v>
      </c>
      <c r="C674" s="4" t="s">
        <v>680</v>
      </c>
      <c r="D674" s="4">
        <v>2</v>
      </c>
      <c r="E674" s="4">
        <v>1247</v>
      </c>
      <c r="F674" s="4">
        <v>12804562</v>
      </c>
      <c r="G674" s="4">
        <v>2</v>
      </c>
      <c r="H674" s="4">
        <v>0</v>
      </c>
      <c r="I674" s="4" t="s">
        <v>27</v>
      </c>
      <c r="J674" s="4" t="s">
        <v>23</v>
      </c>
      <c r="K674" s="4" t="s">
        <v>24</v>
      </c>
      <c r="L674" s="9">
        <v>45718</v>
      </c>
      <c r="M674" s="9" t="str">
        <f>TEXT(Source_data[[#This Row],[Listing_Date]],"mmm-yy")</f>
        <v>Mar-25</v>
      </c>
      <c r="N674" s="4">
        <f t="shared" si="10"/>
        <v>10268.293504410585</v>
      </c>
      <c r="O674" s="3" cm="1">
        <f t="array" ref="O674">_xlfn.IFS(AND(K674="Broker",J674="Resale"),F674*0.5,AND(K674="Owner",J674="Resale"),F674*0,AND(K674="Builder",J674="Resale"),F674*0.3,AND(J674="New",K674="Broker"),F674*0.1,AND(J674="New",K674="Owner"),F674*0,AND(J674="New",K674="Builder"),F674*0.5)</f>
        <v>3841368.5999999996</v>
      </c>
    </row>
    <row r="675" spans="1:15" x14ac:dyDescent="0.3">
      <c r="A675" s="8" t="s">
        <v>731</v>
      </c>
      <c r="B675" s="4" t="s">
        <v>679</v>
      </c>
      <c r="C675" s="4" t="s">
        <v>684</v>
      </c>
      <c r="D675" s="4">
        <v>4</v>
      </c>
      <c r="E675" s="4">
        <v>2382</v>
      </c>
      <c r="F675" s="4">
        <v>21318320</v>
      </c>
      <c r="G675" s="4">
        <v>3</v>
      </c>
      <c r="H675" s="4">
        <v>3</v>
      </c>
      <c r="I675" s="4" t="s">
        <v>27</v>
      </c>
      <c r="J675" s="4" t="s">
        <v>19</v>
      </c>
      <c r="K675" s="4" t="s">
        <v>24</v>
      </c>
      <c r="L675" s="9">
        <v>45193</v>
      </c>
      <c r="M675" s="9" t="str">
        <f>TEXT(Source_data[[#This Row],[Listing_Date]],"mmm-yy")</f>
        <v>Sep-23</v>
      </c>
      <c r="N675" s="4">
        <f t="shared" si="10"/>
        <v>8949.756507136859</v>
      </c>
      <c r="O675" s="3" cm="1">
        <f t="array" ref="O675">_xlfn.IFS(AND(K675="Broker",J675="Resale"),F675*0.5,AND(K675="Owner",J675="Resale"),F675*0,AND(K675="Builder",J675="Resale"),F675*0.3,AND(J675="New",K675="Broker"),F675*0.1,AND(J675="New",K675="Owner"),F675*0,AND(J675="New",K675="Builder"),F675*0.5)</f>
        <v>10659160</v>
      </c>
    </row>
    <row r="676" spans="1:15" x14ac:dyDescent="0.3">
      <c r="A676" s="8" t="s">
        <v>732</v>
      </c>
      <c r="B676" s="4" t="s">
        <v>679</v>
      </c>
      <c r="C676" s="4" t="s">
        <v>686</v>
      </c>
      <c r="D676" s="4">
        <v>3</v>
      </c>
      <c r="E676" s="4">
        <v>1133</v>
      </c>
      <c r="F676" s="4">
        <v>6034008</v>
      </c>
      <c r="G676" s="4">
        <v>3</v>
      </c>
      <c r="H676" s="4">
        <v>2</v>
      </c>
      <c r="I676" s="4" t="s">
        <v>8</v>
      </c>
      <c r="J676" s="4" t="s">
        <v>23</v>
      </c>
      <c r="K676" s="4" t="s">
        <v>24</v>
      </c>
      <c r="L676" s="9">
        <v>45460</v>
      </c>
      <c r="M676" s="9" t="str">
        <f>TEXT(Source_data[[#This Row],[Listing_Date]],"mmm-yy")</f>
        <v>Jun-24</v>
      </c>
      <c r="N676" s="4">
        <f t="shared" si="10"/>
        <v>5325.6910856134155</v>
      </c>
      <c r="O676" s="3" cm="1">
        <f t="array" ref="O676">_xlfn.IFS(AND(K676="Broker",J676="Resale"),F676*0.5,AND(K676="Owner",J676="Resale"),F676*0,AND(K676="Builder",J676="Resale"),F676*0.3,AND(J676="New",K676="Broker"),F676*0.1,AND(J676="New",K676="Owner"),F676*0,AND(J676="New",K676="Builder"),F676*0.5)</f>
        <v>1810202.4</v>
      </c>
    </row>
    <row r="677" spans="1:15" x14ac:dyDescent="0.3">
      <c r="A677" s="8" t="s">
        <v>733</v>
      </c>
      <c r="B677" s="4" t="s">
        <v>679</v>
      </c>
      <c r="C677" s="4" t="s">
        <v>698</v>
      </c>
      <c r="D677" s="4">
        <v>1</v>
      </c>
      <c r="E677" s="4">
        <v>611</v>
      </c>
      <c r="F677" s="4">
        <v>4860753</v>
      </c>
      <c r="G677" s="4">
        <v>1</v>
      </c>
      <c r="H677" s="4">
        <v>0</v>
      </c>
      <c r="I677" s="4" t="s">
        <v>8</v>
      </c>
      <c r="J677" s="4" t="s">
        <v>19</v>
      </c>
      <c r="K677" s="4" t="s">
        <v>24</v>
      </c>
      <c r="L677" s="9">
        <v>45814</v>
      </c>
      <c r="M677" s="9" t="str">
        <f>TEXT(Source_data[[#This Row],[Listing_Date]],"mmm-yy")</f>
        <v>Jun-25</v>
      </c>
      <c r="N677" s="4">
        <f t="shared" si="10"/>
        <v>7955.4058919803601</v>
      </c>
      <c r="O677" s="3" cm="1">
        <f t="array" ref="O677">_xlfn.IFS(AND(K677="Broker",J677="Resale"),F677*0.5,AND(K677="Owner",J677="Resale"),F677*0,AND(K677="Builder",J677="Resale"),F677*0.3,AND(J677="New",K677="Broker"),F677*0.1,AND(J677="New",K677="Owner"),F677*0,AND(J677="New",K677="Builder"),F677*0.5)</f>
        <v>2430376.5</v>
      </c>
    </row>
    <row r="678" spans="1:15" x14ac:dyDescent="0.3">
      <c r="A678" s="8" t="s">
        <v>734</v>
      </c>
      <c r="B678" s="4" t="s">
        <v>679</v>
      </c>
      <c r="C678" s="4" t="s">
        <v>686</v>
      </c>
      <c r="D678" s="4">
        <v>4</v>
      </c>
      <c r="E678" s="4">
        <v>1362</v>
      </c>
      <c r="F678" s="4">
        <v>10919296</v>
      </c>
      <c r="G678" s="4">
        <v>4</v>
      </c>
      <c r="H678" s="4">
        <v>2</v>
      </c>
      <c r="I678" s="4" t="s">
        <v>18</v>
      </c>
      <c r="J678" s="4" t="s">
        <v>19</v>
      </c>
      <c r="K678" s="4" t="s">
        <v>20</v>
      </c>
      <c r="L678" s="9">
        <v>45807</v>
      </c>
      <c r="M678" s="9" t="str">
        <f>TEXT(Source_data[[#This Row],[Listing_Date]],"mmm-yy")</f>
        <v>May-25</v>
      </c>
      <c r="N678" s="4">
        <f t="shared" si="10"/>
        <v>8017.1042584434654</v>
      </c>
      <c r="O678" s="3" cm="1">
        <f t="array" ref="O678">_xlfn.IFS(AND(K678="Broker",J678="Resale"),F678*0.5,AND(K678="Owner",J678="Resale"),F678*0,AND(K678="Builder",J678="Resale"),F678*0.3,AND(J678="New",K678="Broker"),F678*0.1,AND(J678="New",K678="Owner"),F678*0,AND(J678="New",K678="Builder"),F678*0.5)</f>
        <v>1091929.6000000001</v>
      </c>
    </row>
    <row r="679" spans="1:15" x14ac:dyDescent="0.3">
      <c r="A679" s="8" t="s">
        <v>735</v>
      </c>
      <c r="B679" s="4" t="s">
        <v>679</v>
      </c>
      <c r="C679" s="4" t="s">
        <v>698</v>
      </c>
      <c r="D679" s="4">
        <v>1</v>
      </c>
      <c r="E679" s="4">
        <v>793</v>
      </c>
      <c r="F679" s="4">
        <v>7259927</v>
      </c>
      <c r="G679" s="4">
        <v>1</v>
      </c>
      <c r="H679" s="4">
        <v>0</v>
      </c>
      <c r="I679" s="4" t="s">
        <v>18</v>
      </c>
      <c r="J679" s="4" t="s">
        <v>23</v>
      </c>
      <c r="K679" s="4" t="s">
        <v>24</v>
      </c>
      <c r="L679" s="9">
        <v>45435</v>
      </c>
      <c r="M679" s="9" t="str">
        <f>TEXT(Source_data[[#This Row],[Listing_Date]],"mmm-yy")</f>
        <v>May-24</v>
      </c>
      <c r="N679" s="4">
        <f t="shared" si="10"/>
        <v>9155.0151324085746</v>
      </c>
      <c r="O679" s="3" cm="1">
        <f t="array" ref="O679">_xlfn.IFS(AND(K679="Broker",J679="Resale"),F679*0.5,AND(K679="Owner",J679="Resale"),F679*0,AND(K679="Builder",J679="Resale"),F679*0.3,AND(J679="New",K679="Broker"),F679*0.1,AND(J679="New",K679="Owner"),F679*0,AND(J679="New",K679="Builder"),F679*0.5)</f>
        <v>2177978.1</v>
      </c>
    </row>
    <row r="680" spans="1:15" x14ac:dyDescent="0.3">
      <c r="A680" s="8" t="s">
        <v>736</v>
      </c>
      <c r="B680" s="4" t="s">
        <v>679</v>
      </c>
      <c r="C680" s="4" t="s">
        <v>686</v>
      </c>
      <c r="D680" s="4">
        <v>3</v>
      </c>
      <c r="E680" s="4">
        <v>1497</v>
      </c>
      <c r="F680" s="4">
        <v>15063570</v>
      </c>
      <c r="G680" s="4">
        <v>2</v>
      </c>
      <c r="H680" s="4">
        <v>2</v>
      </c>
      <c r="I680" s="4" t="s">
        <v>27</v>
      </c>
      <c r="J680" s="4" t="s">
        <v>19</v>
      </c>
      <c r="K680" s="4" t="s">
        <v>36</v>
      </c>
      <c r="L680" s="9">
        <v>45423</v>
      </c>
      <c r="M680" s="9" t="str">
        <f>TEXT(Source_data[[#This Row],[Listing_Date]],"mmm-yy")</f>
        <v>May-24</v>
      </c>
      <c r="N680" s="4">
        <f t="shared" si="10"/>
        <v>10062.505010020041</v>
      </c>
      <c r="O680" s="3" cm="1">
        <f t="array" ref="O680">_xlfn.IFS(AND(K680="Broker",J680="Resale"),F680*0.5,AND(K680="Owner",J680="Resale"),F680*0,AND(K680="Builder",J680="Resale"),F680*0.3,AND(J680="New",K680="Broker"),F680*0.1,AND(J680="New",K680="Owner"),F680*0,AND(J680="New",K680="Builder"),F680*0.5)</f>
        <v>0</v>
      </c>
    </row>
    <row r="681" spans="1:15" x14ac:dyDescent="0.3">
      <c r="A681" s="8" t="s">
        <v>737</v>
      </c>
      <c r="B681" s="4" t="s">
        <v>679</v>
      </c>
      <c r="C681" s="4" t="s">
        <v>686</v>
      </c>
      <c r="D681" s="4">
        <v>2</v>
      </c>
      <c r="E681" s="4">
        <v>631</v>
      </c>
      <c r="F681" s="4">
        <v>6118027</v>
      </c>
      <c r="G681" s="4">
        <v>2</v>
      </c>
      <c r="H681" s="4">
        <v>1</v>
      </c>
      <c r="I681" s="4" t="s">
        <v>27</v>
      </c>
      <c r="J681" s="4" t="s">
        <v>23</v>
      </c>
      <c r="K681" s="4" t="s">
        <v>36</v>
      </c>
      <c r="L681" s="9">
        <v>44988</v>
      </c>
      <c r="M681" s="9" t="str">
        <f>TEXT(Source_data[[#This Row],[Listing_Date]],"mmm-yy")</f>
        <v>Mar-23</v>
      </c>
      <c r="N681" s="4">
        <f t="shared" si="10"/>
        <v>9695.7638668779709</v>
      </c>
      <c r="O681" s="3" cm="1">
        <f t="array" ref="O681">_xlfn.IFS(AND(K681="Broker",J681="Resale"),F681*0.5,AND(K681="Owner",J681="Resale"),F681*0,AND(K681="Builder",J681="Resale"),F681*0.3,AND(J681="New",K681="Broker"),F681*0.1,AND(J681="New",K681="Owner"),F681*0,AND(J681="New",K681="Builder"),F681*0.5)</f>
        <v>0</v>
      </c>
    </row>
    <row r="682" spans="1:15" x14ac:dyDescent="0.3">
      <c r="A682" s="8" t="s">
        <v>738</v>
      </c>
      <c r="B682" s="4" t="s">
        <v>679</v>
      </c>
      <c r="C682" s="4" t="s">
        <v>684</v>
      </c>
      <c r="D682" s="4">
        <v>4</v>
      </c>
      <c r="E682" s="4">
        <v>1654</v>
      </c>
      <c r="F682" s="4">
        <v>16797793</v>
      </c>
      <c r="G682" s="4">
        <v>2</v>
      </c>
      <c r="H682" s="4">
        <v>3</v>
      </c>
      <c r="I682" s="4" t="s">
        <v>8</v>
      </c>
      <c r="J682" s="4" t="s">
        <v>19</v>
      </c>
      <c r="K682" s="4" t="s">
        <v>20</v>
      </c>
      <c r="L682" s="9">
        <v>45435</v>
      </c>
      <c r="M682" s="9" t="str">
        <f>TEXT(Source_data[[#This Row],[Listing_Date]],"mmm-yy")</f>
        <v>May-24</v>
      </c>
      <c r="N682" s="4">
        <f t="shared" si="10"/>
        <v>10155.860338573157</v>
      </c>
      <c r="O682" s="3" cm="1">
        <f t="array" ref="O682">_xlfn.IFS(AND(K682="Broker",J682="Resale"),F682*0.5,AND(K682="Owner",J682="Resale"),F682*0,AND(K682="Builder",J682="Resale"),F682*0.3,AND(J682="New",K682="Broker"),F682*0.1,AND(J682="New",K682="Owner"),F682*0,AND(J682="New",K682="Builder"),F682*0.5)</f>
        <v>1679779.3</v>
      </c>
    </row>
    <row r="683" spans="1:15" x14ac:dyDescent="0.3">
      <c r="A683" s="8" t="s">
        <v>739</v>
      </c>
      <c r="B683" s="4" t="s">
        <v>679</v>
      </c>
      <c r="C683" s="4" t="s">
        <v>684</v>
      </c>
      <c r="D683" s="4">
        <v>2</v>
      </c>
      <c r="E683" s="4">
        <v>591</v>
      </c>
      <c r="F683" s="4">
        <v>4295970</v>
      </c>
      <c r="G683" s="4">
        <v>2</v>
      </c>
      <c r="H683" s="4">
        <v>2</v>
      </c>
      <c r="I683" s="4" t="s">
        <v>8</v>
      </c>
      <c r="J683" s="4" t="s">
        <v>19</v>
      </c>
      <c r="K683" s="4" t="s">
        <v>36</v>
      </c>
      <c r="L683" s="9">
        <v>45242</v>
      </c>
      <c r="M683" s="9" t="str">
        <f>TEXT(Source_data[[#This Row],[Listing_Date]],"mmm-yy")</f>
        <v>Nov-23</v>
      </c>
      <c r="N683" s="4">
        <f t="shared" si="10"/>
        <v>7268.9847715736041</v>
      </c>
      <c r="O683" s="3" cm="1">
        <f t="array" ref="O683">_xlfn.IFS(AND(K683="Broker",J683="Resale"),F683*0.5,AND(K683="Owner",J683="Resale"),F683*0,AND(K683="Builder",J683="Resale"),F683*0.3,AND(J683="New",K683="Broker"),F683*0.1,AND(J683="New",K683="Owner"),F683*0,AND(J683="New",K683="Builder"),F683*0.5)</f>
        <v>0</v>
      </c>
    </row>
    <row r="684" spans="1:15" x14ac:dyDescent="0.3">
      <c r="A684" s="8" t="s">
        <v>740</v>
      </c>
      <c r="B684" s="4" t="s">
        <v>679</v>
      </c>
      <c r="C684" s="4" t="s">
        <v>686</v>
      </c>
      <c r="D684" s="4">
        <v>4</v>
      </c>
      <c r="E684" s="4">
        <v>1040</v>
      </c>
      <c r="F684" s="4">
        <v>9730030</v>
      </c>
      <c r="G684" s="4">
        <v>3</v>
      </c>
      <c r="H684" s="4">
        <v>3</v>
      </c>
      <c r="I684" s="4" t="s">
        <v>27</v>
      </c>
      <c r="J684" s="4" t="s">
        <v>19</v>
      </c>
      <c r="K684" s="4" t="s">
        <v>20</v>
      </c>
      <c r="L684" s="9">
        <v>45100</v>
      </c>
      <c r="M684" s="9" t="str">
        <f>TEXT(Source_data[[#This Row],[Listing_Date]],"mmm-yy")</f>
        <v>Jun-23</v>
      </c>
      <c r="N684" s="4">
        <f t="shared" si="10"/>
        <v>9355.7980769230762</v>
      </c>
      <c r="O684" s="3" cm="1">
        <f t="array" ref="O684">_xlfn.IFS(AND(K684="Broker",J684="Resale"),F684*0.5,AND(K684="Owner",J684="Resale"),F684*0,AND(K684="Builder",J684="Resale"),F684*0.3,AND(J684="New",K684="Broker"),F684*0.1,AND(J684="New",K684="Owner"),F684*0,AND(J684="New",K684="Builder"),F684*0.5)</f>
        <v>973003</v>
      </c>
    </row>
    <row r="685" spans="1:15" x14ac:dyDescent="0.3">
      <c r="A685" s="8" t="s">
        <v>741</v>
      </c>
      <c r="B685" s="4" t="s">
        <v>679</v>
      </c>
      <c r="C685" s="4" t="s">
        <v>698</v>
      </c>
      <c r="D685" s="4">
        <v>3</v>
      </c>
      <c r="E685" s="4">
        <v>1845</v>
      </c>
      <c r="F685" s="4">
        <v>15890576</v>
      </c>
      <c r="G685" s="4">
        <v>3</v>
      </c>
      <c r="H685" s="4">
        <v>1</v>
      </c>
      <c r="I685" s="4" t="s">
        <v>18</v>
      </c>
      <c r="J685" s="4" t="s">
        <v>23</v>
      </c>
      <c r="K685" s="4" t="s">
        <v>24</v>
      </c>
      <c r="L685" s="9">
        <v>45271</v>
      </c>
      <c r="M685" s="9" t="str">
        <f>TEXT(Source_data[[#This Row],[Listing_Date]],"mmm-yy")</f>
        <v>Dec-23</v>
      </c>
      <c r="N685" s="4">
        <f t="shared" si="10"/>
        <v>8612.7783197831977</v>
      </c>
      <c r="O685" s="3" cm="1">
        <f t="array" ref="O685">_xlfn.IFS(AND(K685="Broker",J685="Resale"),F685*0.5,AND(K685="Owner",J685="Resale"),F685*0,AND(K685="Builder",J685="Resale"),F685*0.3,AND(J685="New",K685="Broker"),F685*0.1,AND(J685="New",K685="Owner"),F685*0,AND(J685="New",K685="Builder"),F685*0.5)</f>
        <v>4767172.8</v>
      </c>
    </row>
    <row r="686" spans="1:15" x14ac:dyDescent="0.3">
      <c r="A686" s="8" t="s">
        <v>742</v>
      </c>
      <c r="B686" s="4" t="s">
        <v>679</v>
      </c>
      <c r="C686" s="4" t="s">
        <v>684</v>
      </c>
      <c r="D686" s="4">
        <v>3</v>
      </c>
      <c r="E686" s="4">
        <v>1181</v>
      </c>
      <c r="F686" s="4">
        <v>9132898</v>
      </c>
      <c r="G686" s="4">
        <v>2</v>
      </c>
      <c r="H686" s="4">
        <v>2</v>
      </c>
      <c r="I686" s="4" t="s">
        <v>8</v>
      </c>
      <c r="J686" s="4" t="s">
        <v>23</v>
      </c>
      <c r="K686" s="4" t="s">
        <v>20</v>
      </c>
      <c r="L686" s="9">
        <v>45110</v>
      </c>
      <c r="M686" s="9" t="str">
        <f>TEXT(Source_data[[#This Row],[Listing_Date]],"mmm-yy")</f>
        <v>Jul-23</v>
      </c>
      <c r="N686" s="4">
        <f t="shared" si="10"/>
        <v>7733.1905165114313</v>
      </c>
      <c r="O686" s="3" cm="1">
        <f t="array" ref="O686">_xlfn.IFS(AND(K686="Broker",J686="Resale"),F686*0.5,AND(K686="Owner",J686="Resale"),F686*0,AND(K686="Builder",J686="Resale"),F686*0.3,AND(J686="New",K686="Broker"),F686*0.1,AND(J686="New",K686="Owner"),F686*0,AND(J686="New",K686="Builder"),F686*0.5)</f>
        <v>4566449</v>
      </c>
    </row>
    <row r="687" spans="1:15" x14ac:dyDescent="0.3">
      <c r="A687" s="8" t="s">
        <v>743</v>
      </c>
      <c r="B687" s="4" t="s">
        <v>679</v>
      </c>
      <c r="C687" s="4" t="s">
        <v>686</v>
      </c>
      <c r="D687" s="4">
        <v>2</v>
      </c>
      <c r="E687" s="4">
        <v>1550</v>
      </c>
      <c r="F687" s="4">
        <v>13828012</v>
      </c>
      <c r="G687" s="4">
        <v>3</v>
      </c>
      <c r="H687" s="4">
        <v>2</v>
      </c>
      <c r="I687" s="4" t="s">
        <v>8</v>
      </c>
      <c r="J687" s="4" t="s">
        <v>23</v>
      </c>
      <c r="K687" s="4" t="s">
        <v>36</v>
      </c>
      <c r="L687" s="9">
        <v>45217</v>
      </c>
      <c r="M687" s="9" t="str">
        <f>TEXT(Source_data[[#This Row],[Listing_Date]],"mmm-yy")</f>
        <v>Oct-23</v>
      </c>
      <c r="N687" s="4">
        <f t="shared" si="10"/>
        <v>8921.2980645161297</v>
      </c>
      <c r="O687" s="3" cm="1">
        <f t="array" ref="O687">_xlfn.IFS(AND(K687="Broker",J687="Resale"),F687*0.5,AND(K687="Owner",J687="Resale"),F687*0,AND(K687="Builder",J687="Resale"),F687*0.3,AND(J687="New",K687="Broker"),F687*0.1,AND(J687="New",K687="Owner"),F687*0,AND(J687="New",K687="Builder"),F687*0.5)</f>
        <v>0</v>
      </c>
    </row>
    <row r="688" spans="1:15" x14ac:dyDescent="0.3">
      <c r="A688" s="8" t="s">
        <v>744</v>
      </c>
      <c r="B688" s="4" t="s">
        <v>679</v>
      </c>
      <c r="C688" s="4" t="s">
        <v>686</v>
      </c>
      <c r="D688" s="4">
        <v>2</v>
      </c>
      <c r="E688" s="4">
        <v>670</v>
      </c>
      <c r="F688" s="4">
        <v>6783776</v>
      </c>
      <c r="G688" s="4">
        <v>3</v>
      </c>
      <c r="H688" s="4">
        <v>1</v>
      </c>
      <c r="I688" s="4" t="s">
        <v>8</v>
      </c>
      <c r="J688" s="4" t="s">
        <v>23</v>
      </c>
      <c r="K688" s="4" t="s">
        <v>24</v>
      </c>
      <c r="L688" s="9">
        <v>45408</v>
      </c>
      <c r="M688" s="9" t="str">
        <f>TEXT(Source_data[[#This Row],[Listing_Date]],"mmm-yy")</f>
        <v>Apr-24</v>
      </c>
      <c r="N688" s="4">
        <f t="shared" si="10"/>
        <v>10125.038805970149</v>
      </c>
      <c r="O688" s="3" cm="1">
        <f t="array" ref="O688">_xlfn.IFS(AND(K688="Broker",J688="Resale"),F688*0.5,AND(K688="Owner",J688="Resale"),F688*0,AND(K688="Builder",J688="Resale"),F688*0.3,AND(J688="New",K688="Broker"),F688*0.1,AND(J688="New",K688="Owner"),F688*0,AND(J688="New",K688="Builder"),F688*0.5)</f>
        <v>2035132.7999999998</v>
      </c>
    </row>
    <row r="689" spans="1:15" x14ac:dyDescent="0.3">
      <c r="A689" s="8" t="s">
        <v>745</v>
      </c>
      <c r="B689" s="4" t="s">
        <v>679</v>
      </c>
      <c r="C689" s="4" t="s">
        <v>682</v>
      </c>
      <c r="D689" s="4">
        <v>4</v>
      </c>
      <c r="E689" s="4">
        <v>1488</v>
      </c>
      <c r="F689" s="4">
        <v>15112992</v>
      </c>
      <c r="G689" s="4">
        <v>3</v>
      </c>
      <c r="H689" s="4">
        <v>2</v>
      </c>
      <c r="I689" s="4" t="s">
        <v>18</v>
      </c>
      <c r="J689" s="4" t="s">
        <v>23</v>
      </c>
      <c r="K689" s="4" t="s">
        <v>36</v>
      </c>
      <c r="L689" s="9">
        <v>45352</v>
      </c>
      <c r="M689" s="9" t="str">
        <f>TEXT(Source_data[[#This Row],[Listing_Date]],"mmm-yy")</f>
        <v>Mar-24</v>
      </c>
      <c r="N689" s="4">
        <f t="shared" si="10"/>
        <v>10156.58064516129</v>
      </c>
      <c r="O689" s="3" cm="1">
        <f t="array" ref="O689">_xlfn.IFS(AND(K689="Broker",J689="Resale"),F689*0.5,AND(K689="Owner",J689="Resale"),F689*0,AND(K689="Builder",J689="Resale"),F689*0.3,AND(J689="New",K689="Broker"),F689*0.1,AND(J689="New",K689="Owner"),F689*0,AND(J689="New",K689="Builder"),F689*0.5)</f>
        <v>0</v>
      </c>
    </row>
    <row r="690" spans="1:15" x14ac:dyDescent="0.3">
      <c r="A690" s="8" t="s">
        <v>746</v>
      </c>
      <c r="B690" s="4" t="s">
        <v>679</v>
      </c>
      <c r="C690" s="4" t="s">
        <v>680</v>
      </c>
      <c r="D690" s="4">
        <v>5</v>
      </c>
      <c r="E690" s="4">
        <v>3091</v>
      </c>
      <c r="F690" s="4">
        <v>29454300</v>
      </c>
      <c r="G690" s="4">
        <v>3</v>
      </c>
      <c r="H690" s="4">
        <v>3</v>
      </c>
      <c r="I690" s="4" t="s">
        <v>8</v>
      </c>
      <c r="J690" s="4" t="s">
        <v>19</v>
      </c>
      <c r="K690" s="4" t="s">
        <v>36</v>
      </c>
      <c r="L690" s="9">
        <v>45363</v>
      </c>
      <c r="M690" s="9" t="str">
        <f>TEXT(Source_data[[#This Row],[Listing_Date]],"mmm-yy")</f>
        <v>Mar-24</v>
      </c>
      <c r="N690" s="4">
        <f t="shared" si="10"/>
        <v>9529.052086703332</v>
      </c>
      <c r="O690" s="3" cm="1">
        <f t="array" ref="O690">_xlfn.IFS(AND(K690="Broker",J690="Resale"),F690*0.5,AND(K690="Owner",J690="Resale"),F690*0,AND(K690="Builder",J690="Resale"),F690*0.3,AND(J690="New",K690="Broker"),F690*0.1,AND(J690="New",K690="Owner"),F690*0,AND(J690="New",K690="Builder"),F690*0.5)</f>
        <v>0</v>
      </c>
    </row>
    <row r="691" spans="1:15" x14ac:dyDescent="0.3">
      <c r="A691" s="8" t="s">
        <v>747</v>
      </c>
      <c r="B691" s="4" t="s">
        <v>679</v>
      </c>
      <c r="C691" s="4" t="s">
        <v>691</v>
      </c>
      <c r="D691" s="4">
        <v>3</v>
      </c>
      <c r="E691" s="4">
        <v>1286</v>
      </c>
      <c r="F691" s="4">
        <v>9903384</v>
      </c>
      <c r="G691" s="4">
        <v>3</v>
      </c>
      <c r="H691" s="4">
        <v>3</v>
      </c>
      <c r="I691" s="4" t="s">
        <v>27</v>
      </c>
      <c r="J691" s="4" t="s">
        <v>19</v>
      </c>
      <c r="K691" s="4" t="s">
        <v>20</v>
      </c>
      <c r="L691" s="9">
        <v>45485</v>
      </c>
      <c r="M691" s="9" t="str">
        <f>TEXT(Source_data[[#This Row],[Listing_Date]],"mmm-yy")</f>
        <v>Jul-24</v>
      </c>
      <c r="N691" s="4">
        <f t="shared" si="10"/>
        <v>7700.9206842923795</v>
      </c>
      <c r="O691" s="3" cm="1">
        <f t="array" ref="O691">_xlfn.IFS(AND(K691="Broker",J691="Resale"),F691*0.5,AND(K691="Owner",J691="Resale"),F691*0,AND(K691="Builder",J691="Resale"),F691*0.3,AND(J691="New",K691="Broker"),F691*0.1,AND(J691="New",K691="Owner"),F691*0,AND(J691="New",K691="Builder"),F691*0.5)</f>
        <v>990338.4</v>
      </c>
    </row>
    <row r="692" spans="1:15" x14ac:dyDescent="0.3">
      <c r="A692" s="8" t="s">
        <v>748</v>
      </c>
      <c r="B692" s="4" t="s">
        <v>679</v>
      </c>
      <c r="C692" s="4" t="s">
        <v>698</v>
      </c>
      <c r="D692" s="4">
        <v>2</v>
      </c>
      <c r="E692" s="4">
        <v>784</v>
      </c>
      <c r="F692" s="4">
        <v>6381197</v>
      </c>
      <c r="G692" s="4">
        <v>2</v>
      </c>
      <c r="H692" s="4">
        <v>3</v>
      </c>
      <c r="I692" s="4" t="s">
        <v>8</v>
      </c>
      <c r="J692" s="4" t="s">
        <v>19</v>
      </c>
      <c r="K692" s="4" t="s">
        <v>36</v>
      </c>
      <c r="L692" s="9">
        <v>45036</v>
      </c>
      <c r="M692" s="9" t="str">
        <f>TEXT(Source_data[[#This Row],[Listing_Date]],"mmm-yy")</f>
        <v>Apr-23</v>
      </c>
      <c r="N692" s="4">
        <f t="shared" si="10"/>
        <v>8139.2818877551017</v>
      </c>
      <c r="O692" s="3" cm="1">
        <f t="array" ref="O692">_xlfn.IFS(AND(K692="Broker",J692="Resale"),F692*0.5,AND(K692="Owner",J692="Resale"),F692*0,AND(K692="Builder",J692="Resale"),F692*0.3,AND(J692="New",K692="Broker"),F692*0.1,AND(J692="New",K692="Owner"),F692*0,AND(J692="New",K692="Builder"),F692*0.5)</f>
        <v>0</v>
      </c>
    </row>
    <row r="693" spans="1:15" x14ac:dyDescent="0.3">
      <c r="A693" s="8" t="s">
        <v>749</v>
      </c>
      <c r="B693" s="4" t="s">
        <v>679</v>
      </c>
      <c r="C693" s="4" t="s">
        <v>682</v>
      </c>
      <c r="D693" s="4">
        <v>2</v>
      </c>
      <c r="E693" s="4">
        <v>638</v>
      </c>
      <c r="F693" s="4">
        <v>5102341</v>
      </c>
      <c r="G693" s="4">
        <v>2</v>
      </c>
      <c r="H693" s="4">
        <v>2</v>
      </c>
      <c r="I693" s="4" t="s">
        <v>27</v>
      </c>
      <c r="J693" s="4" t="s">
        <v>19</v>
      </c>
      <c r="K693" s="4" t="s">
        <v>20</v>
      </c>
      <c r="L693" s="9">
        <v>45845</v>
      </c>
      <c r="M693" s="9" t="str">
        <f>TEXT(Source_data[[#This Row],[Listing_Date]],"mmm-yy")</f>
        <v>Jul-25</v>
      </c>
      <c r="N693" s="4">
        <f t="shared" si="10"/>
        <v>7997.3996865203762</v>
      </c>
      <c r="O693" s="3" cm="1">
        <f t="array" ref="O693">_xlfn.IFS(AND(K693="Broker",J693="Resale"),F693*0.5,AND(K693="Owner",J693="Resale"),F693*0,AND(K693="Builder",J693="Resale"),F693*0.3,AND(J693="New",K693="Broker"),F693*0.1,AND(J693="New",K693="Owner"),F693*0,AND(J693="New",K693="Builder"),F693*0.5)</f>
        <v>510234.10000000003</v>
      </c>
    </row>
    <row r="694" spans="1:15" x14ac:dyDescent="0.3">
      <c r="A694" s="8" t="s">
        <v>750</v>
      </c>
      <c r="B694" s="4" t="s">
        <v>679</v>
      </c>
      <c r="C694" s="4" t="s">
        <v>686</v>
      </c>
      <c r="D694" s="4">
        <v>3</v>
      </c>
      <c r="E694" s="4">
        <v>896</v>
      </c>
      <c r="F694" s="4">
        <v>4668571</v>
      </c>
      <c r="G694" s="4">
        <v>2</v>
      </c>
      <c r="H694" s="4">
        <v>3</v>
      </c>
      <c r="I694" s="4" t="s">
        <v>18</v>
      </c>
      <c r="J694" s="4" t="s">
        <v>23</v>
      </c>
      <c r="K694" s="4" t="s">
        <v>20</v>
      </c>
      <c r="L694" s="9">
        <v>45225</v>
      </c>
      <c r="M694" s="9" t="str">
        <f>TEXT(Source_data[[#This Row],[Listing_Date]],"mmm-yy")</f>
        <v>Oct-23</v>
      </c>
      <c r="N694" s="4">
        <f t="shared" si="10"/>
        <v>5210.4587053571431</v>
      </c>
      <c r="O694" s="3" cm="1">
        <f t="array" ref="O694">_xlfn.IFS(AND(K694="Broker",J694="Resale"),F694*0.5,AND(K694="Owner",J694="Resale"),F694*0,AND(K694="Builder",J694="Resale"),F694*0.3,AND(J694="New",K694="Broker"),F694*0.1,AND(J694="New",K694="Owner"),F694*0,AND(J694="New",K694="Builder"),F694*0.5)</f>
        <v>2334285.5</v>
      </c>
    </row>
    <row r="695" spans="1:15" x14ac:dyDescent="0.3">
      <c r="A695" s="8" t="s">
        <v>751</v>
      </c>
      <c r="B695" s="4" t="s">
        <v>679</v>
      </c>
      <c r="C695" s="4" t="s">
        <v>682</v>
      </c>
      <c r="D695" s="4">
        <v>3</v>
      </c>
      <c r="E695" s="4">
        <v>2079</v>
      </c>
      <c r="F695" s="4">
        <v>18606273</v>
      </c>
      <c r="G695" s="4">
        <v>4</v>
      </c>
      <c r="H695" s="4">
        <v>2</v>
      </c>
      <c r="I695" s="4" t="s">
        <v>18</v>
      </c>
      <c r="J695" s="4" t="s">
        <v>23</v>
      </c>
      <c r="K695" s="4" t="s">
        <v>20</v>
      </c>
      <c r="L695" s="9">
        <v>45469</v>
      </c>
      <c r="M695" s="9" t="str">
        <f>TEXT(Source_data[[#This Row],[Listing_Date]],"mmm-yy")</f>
        <v>Jun-24</v>
      </c>
      <c r="N695" s="4">
        <f t="shared" si="10"/>
        <v>8949.6262626262633</v>
      </c>
      <c r="O695" s="3" cm="1">
        <f t="array" ref="O695">_xlfn.IFS(AND(K695="Broker",J695="Resale"),F695*0.5,AND(K695="Owner",J695="Resale"),F695*0,AND(K695="Builder",J695="Resale"),F695*0.3,AND(J695="New",K695="Broker"),F695*0.1,AND(J695="New",K695="Owner"),F695*0,AND(J695="New",K695="Builder"),F695*0.5)</f>
        <v>9303136.5</v>
      </c>
    </row>
    <row r="696" spans="1:15" x14ac:dyDescent="0.3">
      <c r="A696" s="8" t="s">
        <v>752</v>
      </c>
      <c r="B696" s="4" t="s">
        <v>679</v>
      </c>
      <c r="C696" s="4" t="s">
        <v>682</v>
      </c>
      <c r="D696" s="4">
        <v>2</v>
      </c>
      <c r="E696" s="4">
        <v>1032</v>
      </c>
      <c r="F696" s="4">
        <v>9226448</v>
      </c>
      <c r="G696" s="4">
        <v>2</v>
      </c>
      <c r="H696" s="4">
        <v>2</v>
      </c>
      <c r="I696" s="4" t="s">
        <v>8</v>
      </c>
      <c r="J696" s="4" t="s">
        <v>19</v>
      </c>
      <c r="K696" s="4" t="s">
        <v>24</v>
      </c>
      <c r="L696" s="9">
        <v>45175</v>
      </c>
      <c r="M696" s="9" t="str">
        <f>TEXT(Source_data[[#This Row],[Listing_Date]],"mmm-yy")</f>
        <v>Sep-23</v>
      </c>
      <c r="N696" s="4">
        <f t="shared" si="10"/>
        <v>8940.3565891472863</v>
      </c>
      <c r="O696" s="3" cm="1">
        <f t="array" ref="O696">_xlfn.IFS(AND(K696="Broker",J696="Resale"),F696*0.5,AND(K696="Owner",J696="Resale"),F696*0,AND(K696="Builder",J696="Resale"),F696*0.3,AND(J696="New",K696="Broker"),F696*0.1,AND(J696="New",K696="Owner"),F696*0,AND(J696="New",K696="Builder"),F696*0.5)</f>
        <v>4613224</v>
      </c>
    </row>
    <row r="697" spans="1:15" x14ac:dyDescent="0.3">
      <c r="A697" s="8" t="s">
        <v>753</v>
      </c>
      <c r="B697" s="4" t="s">
        <v>679</v>
      </c>
      <c r="C697" s="4" t="s">
        <v>698</v>
      </c>
      <c r="D697" s="4">
        <v>3</v>
      </c>
      <c r="E697" s="4">
        <v>1489</v>
      </c>
      <c r="F697" s="4">
        <v>15608894</v>
      </c>
      <c r="G697" s="4">
        <v>3</v>
      </c>
      <c r="H697" s="4">
        <v>2</v>
      </c>
      <c r="I697" s="4" t="s">
        <v>27</v>
      </c>
      <c r="J697" s="4" t="s">
        <v>23</v>
      </c>
      <c r="K697" s="4" t="s">
        <v>36</v>
      </c>
      <c r="L697" s="9">
        <v>44942</v>
      </c>
      <c r="M697" s="9" t="str">
        <f>TEXT(Source_data[[#This Row],[Listing_Date]],"mmm-yy")</f>
        <v>Jan-23</v>
      </c>
      <c r="N697" s="4">
        <f t="shared" si="10"/>
        <v>10482.803223640027</v>
      </c>
      <c r="O697" s="3" cm="1">
        <f t="array" ref="O697">_xlfn.IFS(AND(K697="Broker",J697="Resale"),F697*0.5,AND(K697="Owner",J697="Resale"),F697*0,AND(K697="Builder",J697="Resale"),F697*0.3,AND(J697="New",K697="Broker"),F697*0.1,AND(J697="New",K697="Owner"),F697*0,AND(J697="New",K697="Builder"),F697*0.5)</f>
        <v>0</v>
      </c>
    </row>
    <row r="698" spans="1:15" x14ac:dyDescent="0.3">
      <c r="A698" s="8" t="s">
        <v>754</v>
      </c>
      <c r="B698" s="4" t="s">
        <v>679</v>
      </c>
      <c r="C698" s="4" t="s">
        <v>680</v>
      </c>
      <c r="D698" s="4">
        <v>3</v>
      </c>
      <c r="E698" s="4">
        <v>1022</v>
      </c>
      <c r="F698" s="4">
        <v>9485067</v>
      </c>
      <c r="G698" s="4">
        <v>3</v>
      </c>
      <c r="H698" s="4">
        <v>2</v>
      </c>
      <c r="I698" s="4" t="s">
        <v>27</v>
      </c>
      <c r="J698" s="4" t="s">
        <v>19</v>
      </c>
      <c r="K698" s="4" t="s">
        <v>20</v>
      </c>
      <c r="L698" s="9">
        <v>45151</v>
      </c>
      <c r="M698" s="9" t="str">
        <f>TEXT(Source_data[[#This Row],[Listing_Date]],"mmm-yy")</f>
        <v>Aug-23</v>
      </c>
      <c r="N698" s="4">
        <f t="shared" si="10"/>
        <v>9280.8874755381603</v>
      </c>
      <c r="O698" s="3" cm="1">
        <f t="array" ref="O698">_xlfn.IFS(AND(K698="Broker",J698="Resale"),F698*0.5,AND(K698="Owner",J698="Resale"),F698*0,AND(K698="Builder",J698="Resale"),F698*0.3,AND(J698="New",K698="Broker"),F698*0.1,AND(J698="New",K698="Owner"),F698*0,AND(J698="New",K698="Builder"),F698*0.5)</f>
        <v>948506.70000000007</v>
      </c>
    </row>
    <row r="699" spans="1:15" x14ac:dyDescent="0.3">
      <c r="A699" s="8" t="s">
        <v>755</v>
      </c>
      <c r="B699" s="4" t="s">
        <v>679</v>
      </c>
      <c r="C699" s="4" t="s">
        <v>686</v>
      </c>
      <c r="D699" s="4">
        <v>3</v>
      </c>
      <c r="E699" s="4">
        <v>1368</v>
      </c>
      <c r="F699" s="4">
        <v>12978894</v>
      </c>
      <c r="G699" s="4">
        <v>3</v>
      </c>
      <c r="H699" s="4">
        <v>2</v>
      </c>
      <c r="I699" s="4" t="s">
        <v>8</v>
      </c>
      <c r="J699" s="4" t="s">
        <v>19</v>
      </c>
      <c r="K699" s="4" t="s">
        <v>20</v>
      </c>
      <c r="L699" s="9">
        <v>45336</v>
      </c>
      <c r="M699" s="9" t="str">
        <f>TEXT(Source_data[[#This Row],[Listing_Date]],"mmm-yy")</f>
        <v>Feb-24</v>
      </c>
      <c r="N699" s="4">
        <f t="shared" si="10"/>
        <v>9487.4956140350878</v>
      </c>
      <c r="O699" s="3" cm="1">
        <f t="array" ref="O699">_xlfn.IFS(AND(K699="Broker",J699="Resale"),F699*0.5,AND(K699="Owner",J699="Resale"),F699*0,AND(K699="Builder",J699="Resale"),F699*0.3,AND(J699="New",K699="Broker"),F699*0.1,AND(J699="New",K699="Owner"),F699*0,AND(J699="New",K699="Builder"),F699*0.5)</f>
        <v>1297889.4000000001</v>
      </c>
    </row>
    <row r="700" spans="1:15" x14ac:dyDescent="0.3">
      <c r="A700" s="8" t="s">
        <v>756</v>
      </c>
      <c r="B700" s="4" t="s">
        <v>679</v>
      </c>
      <c r="C700" s="4" t="s">
        <v>691</v>
      </c>
      <c r="D700" s="4">
        <v>1</v>
      </c>
      <c r="E700" s="4">
        <v>455</v>
      </c>
      <c r="F700" s="4">
        <v>4327220</v>
      </c>
      <c r="G700" s="4">
        <v>1</v>
      </c>
      <c r="H700" s="4">
        <v>1</v>
      </c>
      <c r="I700" s="4" t="s">
        <v>18</v>
      </c>
      <c r="J700" s="4" t="s">
        <v>23</v>
      </c>
      <c r="K700" s="4" t="s">
        <v>36</v>
      </c>
      <c r="L700" s="9">
        <v>45587</v>
      </c>
      <c r="M700" s="9" t="str">
        <f>TEXT(Source_data[[#This Row],[Listing_Date]],"mmm-yy")</f>
        <v>Oct-24</v>
      </c>
      <c r="N700" s="4">
        <f t="shared" si="10"/>
        <v>9510.3736263736264</v>
      </c>
      <c r="O700" s="3" cm="1">
        <f t="array" ref="O700">_xlfn.IFS(AND(K700="Broker",J700="Resale"),F700*0.5,AND(K700="Owner",J700="Resale"),F700*0,AND(K700="Builder",J700="Resale"),F700*0.3,AND(J700="New",K700="Broker"),F700*0.1,AND(J700="New",K700="Owner"),F700*0,AND(J700="New",K700="Builder"),F700*0.5)</f>
        <v>0</v>
      </c>
    </row>
    <row r="701" spans="1:15" x14ac:dyDescent="0.3">
      <c r="A701" s="8" t="s">
        <v>757</v>
      </c>
      <c r="B701" s="4" t="s">
        <v>679</v>
      </c>
      <c r="C701" s="4" t="s">
        <v>682</v>
      </c>
      <c r="D701" s="4">
        <v>1</v>
      </c>
      <c r="E701" s="4">
        <v>958</v>
      </c>
      <c r="F701" s="4">
        <v>8775159</v>
      </c>
      <c r="G701" s="4">
        <v>1</v>
      </c>
      <c r="H701" s="4">
        <v>2</v>
      </c>
      <c r="I701" s="4" t="s">
        <v>8</v>
      </c>
      <c r="J701" s="4" t="s">
        <v>19</v>
      </c>
      <c r="K701" s="4" t="s">
        <v>24</v>
      </c>
      <c r="L701" s="9">
        <v>45761</v>
      </c>
      <c r="M701" s="9" t="str">
        <f>TEXT(Source_data[[#This Row],[Listing_Date]],"mmm-yy")</f>
        <v>Apr-25</v>
      </c>
      <c r="N701" s="4">
        <f t="shared" si="10"/>
        <v>9159.8736951983301</v>
      </c>
      <c r="O701" s="3" cm="1">
        <f t="array" ref="O701">_xlfn.IFS(AND(K701="Broker",J701="Resale"),F701*0.5,AND(K701="Owner",J701="Resale"),F701*0,AND(K701="Builder",J701="Resale"),F701*0.3,AND(J701="New",K701="Broker"),F701*0.1,AND(J701="New",K701="Owner"),F701*0,AND(J701="New",K701="Builder"),F701*0.5)</f>
        <v>4387579.5</v>
      </c>
    </row>
    <row r="702" spans="1:15" x14ac:dyDescent="0.3">
      <c r="A702" s="8" t="s">
        <v>758</v>
      </c>
      <c r="B702" s="4" t="s">
        <v>679</v>
      </c>
      <c r="C702" s="4" t="s">
        <v>682</v>
      </c>
      <c r="D702" s="4">
        <v>2</v>
      </c>
      <c r="E702" s="4">
        <v>1146</v>
      </c>
      <c r="F702" s="4">
        <v>8559210</v>
      </c>
      <c r="G702" s="4">
        <v>2</v>
      </c>
      <c r="H702" s="4">
        <v>2</v>
      </c>
      <c r="I702" s="4" t="s">
        <v>27</v>
      </c>
      <c r="J702" s="4" t="s">
        <v>19</v>
      </c>
      <c r="K702" s="4" t="s">
        <v>36</v>
      </c>
      <c r="L702" s="9">
        <v>45476</v>
      </c>
      <c r="M702" s="9" t="str">
        <f>TEXT(Source_data[[#This Row],[Listing_Date]],"mmm-yy")</f>
        <v>Jul-24</v>
      </c>
      <c r="N702" s="4">
        <f t="shared" si="10"/>
        <v>7468.7696335078535</v>
      </c>
      <c r="O702" s="3" cm="1">
        <f t="array" ref="O702">_xlfn.IFS(AND(K702="Broker",J702="Resale"),F702*0.5,AND(K702="Owner",J702="Resale"),F702*0,AND(K702="Builder",J702="Resale"),F702*0.3,AND(J702="New",K702="Broker"),F702*0.1,AND(J702="New",K702="Owner"),F702*0,AND(J702="New",K702="Builder"),F702*0.5)</f>
        <v>0</v>
      </c>
    </row>
    <row r="703" spans="1:15" x14ac:dyDescent="0.3">
      <c r="A703" s="8" t="s">
        <v>759</v>
      </c>
      <c r="B703" s="4" t="s">
        <v>679</v>
      </c>
      <c r="C703" s="4" t="s">
        <v>691</v>
      </c>
      <c r="D703" s="4">
        <v>4</v>
      </c>
      <c r="E703" s="4">
        <v>1790</v>
      </c>
      <c r="F703" s="4">
        <v>14414359</v>
      </c>
      <c r="G703" s="4">
        <v>3</v>
      </c>
      <c r="H703" s="4">
        <v>0</v>
      </c>
      <c r="I703" s="4" t="s">
        <v>27</v>
      </c>
      <c r="J703" s="4" t="s">
        <v>19</v>
      </c>
      <c r="K703" s="4" t="s">
        <v>36</v>
      </c>
      <c r="L703" s="9">
        <v>45863</v>
      </c>
      <c r="M703" s="9" t="str">
        <f>TEXT(Source_data[[#This Row],[Listing_Date]],"mmm-yy")</f>
        <v>Jul-25</v>
      </c>
      <c r="N703" s="4">
        <f t="shared" si="10"/>
        <v>8052.7145251396651</v>
      </c>
      <c r="O703" s="3" cm="1">
        <f t="array" ref="O703">_xlfn.IFS(AND(K703="Broker",J703="Resale"),F703*0.5,AND(K703="Owner",J703="Resale"),F703*0,AND(K703="Builder",J703="Resale"),F703*0.3,AND(J703="New",K703="Broker"),F703*0.1,AND(J703="New",K703="Owner"),F703*0,AND(J703="New",K703="Builder"),F703*0.5)</f>
        <v>0</v>
      </c>
    </row>
    <row r="704" spans="1:15" x14ac:dyDescent="0.3">
      <c r="A704" s="8" t="s">
        <v>760</v>
      </c>
      <c r="B704" s="4" t="s">
        <v>679</v>
      </c>
      <c r="C704" s="4" t="s">
        <v>684</v>
      </c>
      <c r="D704" s="4">
        <v>3</v>
      </c>
      <c r="E704" s="4">
        <v>1108</v>
      </c>
      <c r="F704" s="4">
        <v>8368799</v>
      </c>
      <c r="G704" s="4">
        <v>2</v>
      </c>
      <c r="H704" s="4">
        <v>2</v>
      </c>
      <c r="I704" s="4" t="s">
        <v>27</v>
      </c>
      <c r="J704" s="4" t="s">
        <v>19</v>
      </c>
      <c r="K704" s="4" t="s">
        <v>20</v>
      </c>
      <c r="L704" s="9">
        <v>45171</v>
      </c>
      <c r="M704" s="9" t="str">
        <f>TEXT(Source_data[[#This Row],[Listing_Date]],"mmm-yy")</f>
        <v>Sep-23</v>
      </c>
      <c r="N704" s="4">
        <f t="shared" si="10"/>
        <v>7553.067689530686</v>
      </c>
      <c r="O704" s="3" cm="1">
        <f t="array" ref="O704">_xlfn.IFS(AND(K704="Broker",J704="Resale"),F704*0.5,AND(K704="Owner",J704="Resale"),F704*0,AND(K704="Builder",J704="Resale"),F704*0.3,AND(J704="New",K704="Broker"),F704*0.1,AND(J704="New",K704="Owner"),F704*0,AND(J704="New",K704="Builder"),F704*0.5)</f>
        <v>836879.9</v>
      </c>
    </row>
    <row r="705" spans="1:15" x14ac:dyDescent="0.3">
      <c r="A705" s="8" t="s">
        <v>761</v>
      </c>
      <c r="B705" s="4" t="s">
        <v>679</v>
      </c>
      <c r="C705" s="4" t="s">
        <v>691</v>
      </c>
      <c r="D705" s="4">
        <v>3</v>
      </c>
      <c r="E705" s="4">
        <v>626</v>
      </c>
      <c r="F705" s="4">
        <v>6074499</v>
      </c>
      <c r="G705" s="4">
        <v>3</v>
      </c>
      <c r="H705" s="4">
        <v>3</v>
      </c>
      <c r="I705" s="4" t="s">
        <v>8</v>
      </c>
      <c r="J705" s="4" t="s">
        <v>23</v>
      </c>
      <c r="K705" s="4" t="s">
        <v>24</v>
      </c>
      <c r="L705" s="9">
        <v>45851</v>
      </c>
      <c r="M705" s="9" t="str">
        <f>TEXT(Source_data[[#This Row],[Listing_Date]],"mmm-yy")</f>
        <v>Jul-25</v>
      </c>
      <c r="N705" s="4">
        <f t="shared" si="10"/>
        <v>9703.6725239616608</v>
      </c>
      <c r="O705" s="3" cm="1">
        <f t="array" ref="O705">_xlfn.IFS(AND(K705="Broker",J705="Resale"),F705*0.5,AND(K705="Owner",J705="Resale"),F705*0,AND(K705="Builder",J705="Resale"),F705*0.3,AND(J705="New",K705="Broker"),F705*0.1,AND(J705="New",K705="Owner"),F705*0,AND(J705="New",K705="Builder"),F705*0.5)</f>
        <v>1822349.7</v>
      </c>
    </row>
    <row r="706" spans="1:15" x14ac:dyDescent="0.3">
      <c r="A706" s="8" t="s">
        <v>762</v>
      </c>
      <c r="B706" s="4" t="s">
        <v>679</v>
      </c>
      <c r="C706" s="4" t="s">
        <v>686</v>
      </c>
      <c r="D706" s="4">
        <v>5</v>
      </c>
      <c r="E706" s="4">
        <v>3675</v>
      </c>
      <c r="F706" s="4">
        <v>35309098</v>
      </c>
      <c r="G706" s="4">
        <v>2</v>
      </c>
      <c r="H706" s="4">
        <v>1</v>
      </c>
      <c r="I706" s="4" t="s">
        <v>8</v>
      </c>
      <c r="J706" s="4" t="s">
        <v>23</v>
      </c>
      <c r="K706" s="4" t="s">
        <v>24</v>
      </c>
      <c r="L706" s="9">
        <v>45598</v>
      </c>
      <c r="M706" s="9" t="str">
        <f>TEXT(Source_data[[#This Row],[Listing_Date]],"mmm-yy")</f>
        <v>Nov-24</v>
      </c>
      <c r="N706" s="4">
        <f t="shared" si="10"/>
        <v>9607.9178231292517</v>
      </c>
      <c r="O706" s="3" cm="1">
        <f t="array" ref="O706">_xlfn.IFS(AND(K706="Broker",J706="Resale"),F706*0.5,AND(K706="Owner",J706="Resale"),F706*0,AND(K706="Builder",J706="Resale"),F706*0.3,AND(J706="New",K706="Broker"),F706*0.1,AND(J706="New",K706="Owner"),F706*0,AND(J706="New",K706="Builder"),F706*0.5)</f>
        <v>10592729.4</v>
      </c>
    </row>
    <row r="707" spans="1:15" x14ac:dyDescent="0.3">
      <c r="A707" s="8" t="s">
        <v>763</v>
      </c>
      <c r="B707" s="4" t="s">
        <v>679</v>
      </c>
      <c r="C707" s="4" t="s">
        <v>680</v>
      </c>
      <c r="D707" s="4">
        <v>2</v>
      </c>
      <c r="E707" s="4">
        <v>1204</v>
      </c>
      <c r="F707" s="4">
        <v>12066956</v>
      </c>
      <c r="G707" s="4">
        <v>2</v>
      </c>
      <c r="H707" s="4">
        <v>2</v>
      </c>
      <c r="I707" s="4" t="s">
        <v>8</v>
      </c>
      <c r="J707" s="4" t="s">
        <v>19</v>
      </c>
      <c r="K707" s="4" t="s">
        <v>24</v>
      </c>
      <c r="L707" s="9">
        <v>45546</v>
      </c>
      <c r="M707" s="9" t="str">
        <f>TEXT(Source_data[[#This Row],[Listing_Date]],"mmm-yy")</f>
        <v>Sep-24</v>
      </c>
      <c r="N707" s="4">
        <f t="shared" ref="N707:N770" si="11">F707/E707</f>
        <v>10022.388704318937</v>
      </c>
      <c r="O707" s="3" cm="1">
        <f t="array" ref="O707">_xlfn.IFS(AND(K707="Broker",J707="Resale"),F707*0.5,AND(K707="Owner",J707="Resale"),F707*0,AND(K707="Builder",J707="Resale"),F707*0.3,AND(J707="New",K707="Broker"),F707*0.1,AND(J707="New",K707="Owner"),F707*0,AND(J707="New",K707="Builder"),F707*0.5)</f>
        <v>6033478</v>
      </c>
    </row>
    <row r="708" spans="1:15" x14ac:dyDescent="0.3">
      <c r="A708" s="8" t="s">
        <v>764</v>
      </c>
      <c r="B708" s="4" t="s">
        <v>679</v>
      </c>
      <c r="C708" s="4" t="s">
        <v>686</v>
      </c>
      <c r="D708" s="4">
        <v>3</v>
      </c>
      <c r="E708" s="4">
        <v>1600</v>
      </c>
      <c r="F708" s="4">
        <v>12447042</v>
      </c>
      <c r="G708" s="4">
        <v>3</v>
      </c>
      <c r="H708" s="4">
        <v>2</v>
      </c>
      <c r="I708" s="4" t="s">
        <v>67</v>
      </c>
      <c r="J708" s="4" t="s">
        <v>23</v>
      </c>
      <c r="K708" s="4" t="s">
        <v>36</v>
      </c>
      <c r="L708" s="9">
        <v>45424</v>
      </c>
      <c r="M708" s="9" t="str">
        <f>TEXT(Source_data[[#This Row],[Listing_Date]],"mmm-yy")</f>
        <v>May-24</v>
      </c>
      <c r="N708" s="4">
        <f t="shared" si="11"/>
        <v>7779.4012499999999</v>
      </c>
      <c r="O708" s="3" cm="1">
        <f t="array" ref="O708">_xlfn.IFS(AND(K708="Broker",J708="Resale"),F708*0.5,AND(K708="Owner",J708="Resale"),F708*0,AND(K708="Builder",J708="Resale"),F708*0.3,AND(J708="New",K708="Broker"),F708*0.1,AND(J708="New",K708="Owner"),F708*0,AND(J708="New",K708="Builder"),F708*0.5)</f>
        <v>0</v>
      </c>
    </row>
    <row r="709" spans="1:15" x14ac:dyDescent="0.3">
      <c r="A709" s="8" t="s">
        <v>765</v>
      </c>
      <c r="B709" s="4" t="s">
        <v>679</v>
      </c>
      <c r="C709" s="4" t="s">
        <v>691</v>
      </c>
      <c r="D709" s="4">
        <v>2</v>
      </c>
      <c r="E709" s="4">
        <v>1002</v>
      </c>
      <c r="F709" s="4">
        <v>7912618</v>
      </c>
      <c r="G709" s="4">
        <v>1</v>
      </c>
      <c r="H709" s="4">
        <v>2</v>
      </c>
      <c r="I709" s="4" t="s">
        <v>27</v>
      </c>
      <c r="J709" s="4" t="s">
        <v>19</v>
      </c>
      <c r="K709" s="4" t="s">
        <v>36</v>
      </c>
      <c r="L709" s="9">
        <v>45743</v>
      </c>
      <c r="M709" s="9" t="str">
        <f>TEXT(Source_data[[#This Row],[Listing_Date]],"mmm-yy")</f>
        <v>Mar-25</v>
      </c>
      <c r="N709" s="4">
        <f t="shared" si="11"/>
        <v>7896.824351297405</v>
      </c>
      <c r="O709" s="3" cm="1">
        <f t="array" ref="O709">_xlfn.IFS(AND(K709="Broker",J709="Resale"),F709*0.5,AND(K709="Owner",J709="Resale"),F709*0,AND(K709="Builder",J709="Resale"),F709*0.3,AND(J709="New",K709="Broker"),F709*0.1,AND(J709="New",K709="Owner"),F709*0,AND(J709="New",K709="Builder"),F709*0.5)</f>
        <v>0</v>
      </c>
    </row>
    <row r="710" spans="1:15" x14ac:dyDescent="0.3">
      <c r="A710" s="8" t="s">
        <v>766</v>
      </c>
      <c r="B710" s="4" t="s">
        <v>679</v>
      </c>
      <c r="C710" s="4" t="s">
        <v>680</v>
      </c>
      <c r="D710" s="4">
        <v>2</v>
      </c>
      <c r="E710" s="4">
        <v>1287</v>
      </c>
      <c r="F710" s="4">
        <v>12021745</v>
      </c>
      <c r="G710" s="4">
        <v>2</v>
      </c>
      <c r="H710" s="4">
        <v>0</v>
      </c>
      <c r="I710" s="4" t="s">
        <v>8</v>
      </c>
      <c r="J710" s="4" t="s">
        <v>23</v>
      </c>
      <c r="K710" s="4" t="s">
        <v>24</v>
      </c>
      <c r="L710" s="9">
        <v>45260</v>
      </c>
      <c r="M710" s="9" t="str">
        <f>TEXT(Source_data[[#This Row],[Listing_Date]],"mmm-yy")</f>
        <v>Nov-23</v>
      </c>
      <c r="N710" s="4">
        <f t="shared" si="11"/>
        <v>9340.9052059052065</v>
      </c>
      <c r="O710" s="3" cm="1">
        <f t="array" ref="O710">_xlfn.IFS(AND(K710="Broker",J710="Resale"),F710*0.5,AND(K710="Owner",J710="Resale"),F710*0,AND(K710="Builder",J710="Resale"),F710*0.3,AND(J710="New",K710="Broker"),F710*0.1,AND(J710="New",K710="Owner"),F710*0,AND(J710="New",K710="Builder"),F710*0.5)</f>
        <v>3606523.5</v>
      </c>
    </row>
    <row r="711" spans="1:15" x14ac:dyDescent="0.3">
      <c r="A711" s="8" t="s">
        <v>767</v>
      </c>
      <c r="B711" s="4" t="s">
        <v>679</v>
      </c>
      <c r="C711" s="4" t="s">
        <v>691</v>
      </c>
      <c r="D711" s="4">
        <v>1</v>
      </c>
      <c r="E711" s="4">
        <v>714</v>
      </c>
      <c r="F711" s="4">
        <v>5950092</v>
      </c>
      <c r="G711" s="4">
        <v>2</v>
      </c>
      <c r="H711" s="4">
        <v>2</v>
      </c>
      <c r="I711" s="4" t="s">
        <v>8</v>
      </c>
      <c r="J711" s="4" t="s">
        <v>19</v>
      </c>
      <c r="K711" s="4" t="s">
        <v>20</v>
      </c>
      <c r="L711" s="9">
        <v>45728</v>
      </c>
      <c r="M711" s="9" t="str">
        <f>TEXT(Source_data[[#This Row],[Listing_Date]],"mmm-yy")</f>
        <v>Mar-25</v>
      </c>
      <c r="N711" s="4">
        <f t="shared" si="11"/>
        <v>8333.4621848739498</v>
      </c>
      <c r="O711" s="3" cm="1">
        <f t="array" ref="O711">_xlfn.IFS(AND(K711="Broker",J711="Resale"),F711*0.5,AND(K711="Owner",J711="Resale"),F711*0,AND(K711="Builder",J711="Resale"),F711*0.3,AND(J711="New",K711="Broker"),F711*0.1,AND(J711="New",K711="Owner"),F711*0,AND(J711="New",K711="Builder"),F711*0.5)</f>
        <v>595009.20000000007</v>
      </c>
    </row>
    <row r="712" spans="1:15" x14ac:dyDescent="0.3">
      <c r="A712" s="8" t="s">
        <v>768</v>
      </c>
      <c r="B712" s="4" t="s">
        <v>679</v>
      </c>
      <c r="C712" s="4" t="s">
        <v>698</v>
      </c>
      <c r="D712" s="4">
        <v>4</v>
      </c>
      <c r="E712" s="4">
        <v>1970</v>
      </c>
      <c r="F712" s="4">
        <v>21622860</v>
      </c>
      <c r="G712" s="4">
        <v>3</v>
      </c>
      <c r="H712" s="4">
        <v>1</v>
      </c>
      <c r="I712" s="4" t="s">
        <v>8</v>
      </c>
      <c r="J712" s="4" t="s">
        <v>23</v>
      </c>
      <c r="K712" s="4" t="s">
        <v>20</v>
      </c>
      <c r="L712" s="9">
        <v>45453</v>
      </c>
      <c r="M712" s="9" t="str">
        <f>TEXT(Source_data[[#This Row],[Listing_Date]],"mmm-yy")</f>
        <v>Jun-24</v>
      </c>
      <c r="N712" s="4">
        <f t="shared" si="11"/>
        <v>10976.071065989847</v>
      </c>
      <c r="O712" s="3" cm="1">
        <f t="array" ref="O712">_xlfn.IFS(AND(K712="Broker",J712="Resale"),F712*0.5,AND(K712="Owner",J712="Resale"),F712*0,AND(K712="Builder",J712="Resale"),F712*0.3,AND(J712="New",K712="Broker"),F712*0.1,AND(J712="New",K712="Owner"),F712*0,AND(J712="New",K712="Builder"),F712*0.5)</f>
        <v>10811430</v>
      </c>
    </row>
    <row r="713" spans="1:15" x14ac:dyDescent="0.3">
      <c r="A713" s="8" t="s">
        <v>769</v>
      </c>
      <c r="B713" s="4" t="s">
        <v>679</v>
      </c>
      <c r="C713" s="4" t="s">
        <v>686</v>
      </c>
      <c r="D713" s="4">
        <v>2</v>
      </c>
      <c r="E713" s="4">
        <v>838</v>
      </c>
      <c r="F713" s="4">
        <v>7863674</v>
      </c>
      <c r="G713" s="4">
        <v>1</v>
      </c>
      <c r="H713" s="4">
        <v>2</v>
      </c>
      <c r="I713" s="4" t="s">
        <v>27</v>
      </c>
      <c r="J713" s="4" t="s">
        <v>23</v>
      </c>
      <c r="K713" s="4" t="s">
        <v>24</v>
      </c>
      <c r="L713" s="9">
        <v>45796</v>
      </c>
      <c r="M713" s="9" t="str">
        <f>TEXT(Source_data[[#This Row],[Listing_Date]],"mmm-yy")</f>
        <v>May-25</v>
      </c>
      <c r="N713" s="4">
        <f t="shared" si="11"/>
        <v>9383.8591885441529</v>
      </c>
      <c r="O713" s="3" cm="1">
        <f t="array" ref="O713">_xlfn.IFS(AND(K713="Broker",J713="Resale"),F713*0.5,AND(K713="Owner",J713="Resale"),F713*0,AND(K713="Builder",J713="Resale"),F713*0.3,AND(J713="New",K713="Broker"),F713*0.1,AND(J713="New",K713="Owner"),F713*0,AND(J713="New",K713="Builder"),F713*0.5)</f>
        <v>2359102.1999999997</v>
      </c>
    </row>
    <row r="714" spans="1:15" x14ac:dyDescent="0.3">
      <c r="A714" s="8" t="s">
        <v>770</v>
      </c>
      <c r="B714" s="4" t="s">
        <v>679</v>
      </c>
      <c r="C714" s="4" t="s">
        <v>682</v>
      </c>
      <c r="D714" s="4">
        <v>2</v>
      </c>
      <c r="E714" s="4">
        <v>797</v>
      </c>
      <c r="F714" s="4">
        <v>6962105</v>
      </c>
      <c r="G714" s="4">
        <v>3</v>
      </c>
      <c r="H714" s="4">
        <v>3</v>
      </c>
      <c r="I714" s="4" t="s">
        <v>8</v>
      </c>
      <c r="J714" s="4" t="s">
        <v>19</v>
      </c>
      <c r="K714" s="4" t="s">
        <v>20</v>
      </c>
      <c r="L714" s="9">
        <v>45016</v>
      </c>
      <c r="M714" s="9" t="str">
        <f>TEXT(Source_data[[#This Row],[Listing_Date]],"mmm-yy")</f>
        <v>Mar-23</v>
      </c>
      <c r="N714" s="4">
        <f t="shared" si="11"/>
        <v>8735.3889585947309</v>
      </c>
      <c r="O714" s="3" cm="1">
        <f t="array" ref="O714">_xlfn.IFS(AND(K714="Broker",J714="Resale"),F714*0.5,AND(K714="Owner",J714="Resale"),F714*0,AND(K714="Builder",J714="Resale"),F714*0.3,AND(J714="New",K714="Broker"),F714*0.1,AND(J714="New",K714="Owner"),F714*0,AND(J714="New",K714="Builder"),F714*0.5)</f>
        <v>696210.5</v>
      </c>
    </row>
    <row r="715" spans="1:15" x14ac:dyDescent="0.3">
      <c r="A715" s="8" t="s">
        <v>771</v>
      </c>
      <c r="B715" s="4" t="s">
        <v>679</v>
      </c>
      <c r="C715" s="4" t="s">
        <v>698</v>
      </c>
      <c r="D715" s="4">
        <v>1</v>
      </c>
      <c r="E715" s="4">
        <v>580</v>
      </c>
      <c r="F715" s="4">
        <v>4620902</v>
      </c>
      <c r="G715" s="4">
        <v>1</v>
      </c>
      <c r="H715" s="4">
        <v>3</v>
      </c>
      <c r="I715" s="4" t="s">
        <v>18</v>
      </c>
      <c r="J715" s="4" t="s">
        <v>23</v>
      </c>
      <c r="K715" s="4" t="s">
        <v>36</v>
      </c>
      <c r="L715" s="9">
        <v>45119</v>
      </c>
      <c r="M715" s="9" t="str">
        <f>TEXT(Source_data[[#This Row],[Listing_Date]],"mmm-yy")</f>
        <v>Jul-23</v>
      </c>
      <c r="N715" s="4">
        <f t="shared" si="11"/>
        <v>7967.0724137931038</v>
      </c>
      <c r="O715" s="3" cm="1">
        <f t="array" ref="O715">_xlfn.IFS(AND(K715="Broker",J715="Resale"),F715*0.5,AND(K715="Owner",J715="Resale"),F715*0,AND(K715="Builder",J715="Resale"),F715*0.3,AND(J715="New",K715="Broker"),F715*0.1,AND(J715="New",K715="Owner"),F715*0,AND(J715="New",K715="Builder"),F715*0.5)</f>
        <v>0</v>
      </c>
    </row>
    <row r="716" spans="1:15" x14ac:dyDescent="0.3">
      <c r="A716" s="8" t="s">
        <v>772</v>
      </c>
      <c r="B716" s="4" t="s">
        <v>679</v>
      </c>
      <c r="C716" s="4" t="s">
        <v>698</v>
      </c>
      <c r="D716" s="4">
        <v>2</v>
      </c>
      <c r="E716" s="4">
        <v>700</v>
      </c>
      <c r="F716" s="4">
        <v>6118162</v>
      </c>
      <c r="G716" s="4">
        <v>3</v>
      </c>
      <c r="H716" s="4">
        <v>0</v>
      </c>
      <c r="I716" s="4" t="s">
        <v>8</v>
      </c>
      <c r="J716" s="4" t="s">
        <v>19</v>
      </c>
      <c r="K716" s="4" t="s">
        <v>36</v>
      </c>
      <c r="L716" s="9">
        <v>45188</v>
      </c>
      <c r="M716" s="9" t="str">
        <f>TEXT(Source_data[[#This Row],[Listing_Date]],"mmm-yy")</f>
        <v>Sep-23</v>
      </c>
      <c r="N716" s="4">
        <f t="shared" si="11"/>
        <v>8740.2314285714292</v>
      </c>
      <c r="O716" s="3" cm="1">
        <f t="array" ref="O716">_xlfn.IFS(AND(K716="Broker",J716="Resale"),F716*0.5,AND(K716="Owner",J716="Resale"),F716*0,AND(K716="Builder",J716="Resale"),F716*0.3,AND(J716="New",K716="Broker"),F716*0.1,AND(J716="New",K716="Owner"),F716*0,AND(J716="New",K716="Builder"),F716*0.5)</f>
        <v>0</v>
      </c>
    </row>
    <row r="717" spans="1:15" x14ac:dyDescent="0.3">
      <c r="A717" s="8" t="s">
        <v>773</v>
      </c>
      <c r="B717" s="4" t="s">
        <v>679</v>
      </c>
      <c r="C717" s="4" t="s">
        <v>684</v>
      </c>
      <c r="D717" s="4">
        <v>2</v>
      </c>
      <c r="E717" s="4">
        <v>969</v>
      </c>
      <c r="F717" s="4">
        <v>5878111</v>
      </c>
      <c r="G717" s="4">
        <v>2</v>
      </c>
      <c r="H717" s="4">
        <v>2</v>
      </c>
      <c r="I717" s="4" t="s">
        <v>8</v>
      </c>
      <c r="J717" s="4" t="s">
        <v>23</v>
      </c>
      <c r="K717" s="4" t="s">
        <v>24</v>
      </c>
      <c r="L717" s="9">
        <v>45742</v>
      </c>
      <c r="M717" s="9" t="str">
        <f>TEXT(Source_data[[#This Row],[Listing_Date]],"mmm-yy")</f>
        <v>Mar-25</v>
      </c>
      <c r="N717" s="4">
        <f t="shared" si="11"/>
        <v>6066.1620227038184</v>
      </c>
      <c r="O717" s="3" cm="1">
        <f t="array" ref="O717">_xlfn.IFS(AND(K717="Broker",J717="Resale"),F717*0.5,AND(K717="Owner",J717="Resale"),F717*0,AND(K717="Builder",J717="Resale"),F717*0.3,AND(J717="New",K717="Broker"),F717*0.1,AND(J717="New",K717="Owner"),F717*0,AND(J717="New",K717="Builder"),F717*0.5)</f>
        <v>1763433.3</v>
      </c>
    </row>
    <row r="718" spans="1:15" x14ac:dyDescent="0.3">
      <c r="A718" s="8" t="s">
        <v>774</v>
      </c>
      <c r="B718" s="4" t="s">
        <v>679</v>
      </c>
      <c r="C718" s="4" t="s">
        <v>680</v>
      </c>
      <c r="D718" s="4">
        <v>2</v>
      </c>
      <c r="E718" s="4">
        <v>1409</v>
      </c>
      <c r="F718" s="4">
        <v>15909700</v>
      </c>
      <c r="G718" s="4">
        <v>2</v>
      </c>
      <c r="H718" s="4">
        <v>1</v>
      </c>
      <c r="I718" s="4" t="s">
        <v>8</v>
      </c>
      <c r="J718" s="4" t="s">
        <v>23</v>
      </c>
      <c r="K718" s="4" t="s">
        <v>36</v>
      </c>
      <c r="L718" s="9">
        <v>45036</v>
      </c>
      <c r="M718" s="9" t="str">
        <f>TEXT(Source_data[[#This Row],[Listing_Date]],"mmm-yy")</f>
        <v>Apr-23</v>
      </c>
      <c r="N718" s="4">
        <f t="shared" si="11"/>
        <v>11291.483321504613</v>
      </c>
      <c r="O718" s="3" cm="1">
        <f t="array" ref="O718">_xlfn.IFS(AND(K718="Broker",J718="Resale"),F718*0.5,AND(K718="Owner",J718="Resale"),F718*0,AND(K718="Builder",J718="Resale"),F718*0.3,AND(J718="New",K718="Broker"),F718*0.1,AND(J718="New",K718="Owner"),F718*0,AND(J718="New",K718="Builder"),F718*0.5)</f>
        <v>0</v>
      </c>
    </row>
    <row r="719" spans="1:15" x14ac:dyDescent="0.3">
      <c r="A719" s="8" t="s">
        <v>775</v>
      </c>
      <c r="B719" s="4" t="s">
        <v>679</v>
      </c>
      <c r="C719" s="4" t="s">
        <v>680</v>
      </c>
      <c r="D719" s="4">
        <v>2</v>
      </c>
      <c r="E719" s="4">
        <v>972</v>
      </c>
      <c r="F719" s="4">
        <v>11749459</v>
      </c>
      <c r="G719" s="4">
        <v>3</v>
      </c>
      <c r="H719" s="4">
        <v>3</v>
      </c>
      <c r="I719" s="4" t="s">
        <v>27</v>
      </c>
      <c r="J719" s="4" t="s">
        <v>19</v>
      </c>
      <c r="K719" s="4" t="s">
        <v>36</v>
      </c>
      <c r="L719" s="9">
        <v>45767</v>
      </c>
      <c r="M719" s="9" t="str">
        <f>TEXT(Source_data[[#This Row],[Listing_Date]],"mmm-yy")</f>
        <v>Apr-25</v>
      </c>
      <c r="N719" s="4">
        <f t="shared" si="11"/>
        <v>12087.920781893004</v>
      </c>
      <c r="O719" s="3" cm="1">
        <f t="array" ref="O719">_xlfn.IFS(AND(K719="Broker",J719="Resale"),F719*0.5,AND(K719="Owner",J719="Resale"),F719*0,AND(K719="Builder",J719="Resale"),F719*0.3,AND(J719="New",K719="Broker"),F719*0.1,AND(J719="New",K719="Owner"),F719*0,AND(J719="New",K719="Builder"),F719*0.5)</f>
        <v>0</v>
      </c>
    </row>
    <row r="720" spans="1:15" x14ac:dyDescent="0.3">
      <c r="A720" s="8" t="s">
        <v>776</v>
      </c>
      <c r="B720" s="4" t="s">
        <v>679</v>
      </c>
      <c r="C720" s="4" t="s">
        <v>680</v>
      </c>
      <c r="D720" s="4">
        <v>2</v>
      </c>
      <c r="E720" s="4">
        <v>1558</v>
      </c>
      <c r="F720" s="4">
        <v>16434826</v>
      </c>
      <c r="G720" s="4">
        <v>2</v>
      </c>
      <c r="H720" s="4">
        <v>2</v>
      </c>
      <c r="I720" s="4" t="s">
        <v>18</v>
      </c>
      <c r="J720" s="4" t="s">
        <v>19</v>
      </c>
      <c r="K720" s="4" t="s">
        <v>24</v>
      </c>
      <c r="L720" s="9">
        <v>45088</v>
      </c>
      <c r="M720" s="9" t="str">
        <f>TEXT(Source_data[[#This Row],[Listing_Date]],"mmm-yy")</f>
        <v>Jun-23</v>
      </c>
      <c r="N720" s="4">
        <f t="shared" si="11"/>
        <v>10548.668806161746</v>
      </c>
      <c r="O720" s="3" cm="1">
        <f t="array" ref="O720">_xlfn.IFS(AND(K720="Broker",J720="Resale"),F720*0.5,AND(K720="Owner",J720="Resale"),F720*0,AND(K720="Builder",J720="Resale"),F720*0.3,AND(J720="New",K720="Broker"),F720*0.1,AND(J720="New",K720="Owner"),F720*0,AND(J720="New",K720="Builder"),F720*0.5)</f>
        <v>8217413</v>
      </c>
    </row>
    <row r="721" spans="1:15" x14ac:dyDescent="0.3">
      <c r="A721" s="8" t="s">
        <v>777</v>
      </c>
      <c r="B721" s="4" t="s">
        <v>679</v>
      </c>
      <c r="C721" s="4" t="s">
        <v>680</v>
      </c>
      <c r="D721" s="4">
        <v>3</v>
      </c>
      <c r="E721" s="4">
        <v>2051</v>
      </c>
      <c r="F721" s="4">
        <v>22471292</v>
      </c>
      <c r="G721" s="4">
        <v>3</v>
      </c>
      <c r="H721" s="4">
        <v>3</v>
      </c>
      <c r="I721" s="4" t="s">
        <v>18</v>
      </c>
      <c r="J721" s="4" t="s">
        <v>19</v>
      </c>
      <c r="K721" s="4" t="s">
        <v>36</v>
      </c>
      <c r="L721" s="9">
        <v>45768</v>
      </c>
      <c r="M721" s="9" t="str">
        <f>TEXT(Source_data[[#This Row],[Listing_Date]],"mmm-yy")</f>
        <v>Apr-25</v>
      </c>
      <c r="N721" s="4">
        <f t="shared" si="11"/>
        <v>10956.26133593369</v>
      </c>
      <c r="O721" s="3" cm="1">
        <f t="array" ref="O721">_xlfn.IFS(AND(K721="Broker",J721="Resale"),F721*0.5,AND(K721="Owner",J721="Resale"),F721*0,AND(K721="Builder",J721="Resale"),F721*0.3,AND(J721="New",K721="Broker"),F721*0.1,AND(J721="New",K721="Owner"),F721*0,AND(J721="New",K721="Builder"),F721*0.5)</f>
        <v>0</v>
      </c>
    </row>
    <row r="722" spans="1:15" x14ac:dyDescent="0.3">
      <c r="A722" s="8" t="s">
        <v>778</v>
      </c>
      <c r="B722" s="4" t="s">
        <v>679</v>
      </c>
      <c r="C722" s="4" t="s">
        <v>682</v>
      </c>
      <c r="D722" s="4">
        <v>1</v>
      </c>
      <c r="E722" s="4">
        <v>550</v>
      </c>
      <c r="F722" s="4">
        <v>4044516</v>
      </c>
      <c r="G722" s="4">
        <v>1</v>
      </c>
      <c r="H722" s="4">
        <v>1</v>
      </c>
      <c r="I722" s="4" t="s">
        <v>27</v>
      </c>
      <c r="J722" s="4" t="s">
        <v>19</v>
      </c>
      <c r="K722" s="4" t="s">
        <v>24</v>
      </c>
      <c r="L722" s="9">
        <v>45863</v>
      </c>
      <c r="M722" s="9" t="str">
        <f>TEXT(Source_data[[#This Row],[Listing_Date]],"mmm-yy")</f>
        <v>Jul-25</v>
      </c>
      <c r="N722" s="4">
        <f t="shared" si="11"/>
        <v>7353.6654545454548</v>
      </c>
      <c r="O722" s="3" cm="1">
        <f t="array" ref="O722">_xlfn.IFS(AND(K722="Broker",J722="Resale"),F722*0.5,AND(K722="Owner",J722="Resale"),F722*0,AND(K722="Builder",J722="Resale"),F722*0.3,AND(J722="New",K722="Broker"),F722*0.1,AND(J722="New",K722="Owner"),F722*0,AND(J722="New",K722="Builder"),F722*0.5)</f>
        <v>2022258</v>
      </c>
    </row>
    <row r="723" spans="1:15" x14ac:dyDescent="0.3">
      <c r="A723" s="8" t="s">
        <v>779</v>
      </c>
      <c r="B723" s="4" t="s">
        <v>679</v>
      </c>
      <c r="C723" s="4" t="s">
        <v>691</v>
      </c>
      <c r="D723" s="4">
        <v>2</v>
      </c>
      <c r="E723" s="4">
        <v>896</v>
      </c>
      <c r="F723" s="4">
        <v>5014651</v>
      </c>
      <c r="G723" s="4">
        <v>1</v>
      </c>
      <c r="H723" s="4">
        <v>4</v>
      </c>
      <c r="I723" s="4" t="s">
        <v>27</v>
      </c>
      <c r="J723" s="4" t="s">
        <v>23</v>
      </c>
      <c r="K723" s="4" t="s">
        <v>24</v>
      </c>
      <c r="L723" s="9">
        <v>45092</v>
      </c>
      <c r="M723" s="9" t="str">
        <f>TEXT(Source_data[[#This Row],[Listing_Date]],"mmm-yy")</f>
        <v>Jun-23</v>
      </c>
      <c r="N723" s="4">
        <f t="shared" si="11"/>
        <v>5596.7087053571431</v>
      </c>
      <c r="O723" s="3" cm="1">
        <f t="array" ref="O723">_xlfn.IFS(AND(K723="Broker",J723="Resale"),F723*0.5,AND(K723="Owner",J723="Resale"),F723*0,AND(K723="Builder",J723="Resale"),F723*0.3,AND(J723="New",K723="Broker"),F723*0.1,AND(J723="New",K723="Owner"),F723*0,AND(J723="New",K723="Builder"),F723*0.5)</f>
        <v>1504395.3</v>
      </c>
    </row>
    <row r="724" spans="1:15" x14ac:dyDescent="0.3">
      <c r="A724" s="8" t="s">
        <v>780</v>
      </c>
      <c r="B724" s="4" t="s">
        <v>679</v>
      </c>
      <c r="C724" s="4" t="s">
        <v>682</v>
      </c>
      <c r="D724" s="4">
        <v>3</v>
      </c>
      <c r="E724" s="4">
        <v>1526</v>
      </c>
      <c r="F724" s="4">
        <v>17191279</v>
      </c>
      <c r="G724" s="4">
        <v>3</v>
      </c>
      <c r="H724" s="4">
        <v>1</v>
      </c>
      <c r="I724" s="4" t="s">
        <v>8</v>
      </c>
      <c r="J724" s="4" t="s">
        <v>23</v>
      </c>
      <c r="K724" s="4" t="s">
        <v>20</v>
      </c>
      <c r="L724" s="9">
        <v>45188</v>
      </c>
      <c r="M724" s="9" t="str">
        <f>TEXT(Source_data[[#This Row],[Listing_Date]],"mmm-yy")</f>
        <v>Sep-23</v>
      </c>
      <c r="N724" s="4">
        <f t="shared" si="11"/>
        <v>11265.58256880734</v>
      </c>
      <c r="O724" s="3" cm="1">
        <f t="array" ref="O724">_xlfn.IFS(AND(K724="Broker",J724="Resale"),F724*0.5,AND(K724="Owner",J724="Resale"),F724*0,AND(K724="Builder",J724="Resale"),F724*0.3,AND(J724="New",K724="Broker"),F724*0.1,AND(J724="New",K724="Owner"),F724*0,AND(J724="New",K724="Builder"),F724*0.5)</f>
        <v>8595639.5</v>
      </c>
    </row>
    <row r="725" spans="1:15" x14ac:dyDescent="0.3">
      <c r="A725" s="8" t="s">
        <v>781</v>
      </c>
      <c r="B725" s="4" t="s">
        <v>679</v>
      </c>
      <c r="C725" s="4" t="s">
        <v>684</v>
      </c>
      <c r="D725" s="4">
        <v>3</v>
      </c>
      <c r="E725" s="4">
        <v>1252</v>
      </c>
      <c r="F725" s="4">
        <v>10821854</v>
      </c>
      <c r="G725" s="4">
        <v>2</v>
      </c>
      <c r="H725" s="4">
        <v>2</v>
      </c>
      <c r="I725" s="4" t="s">
        <v>8</v>
      </c>
      <c r="J725" s="4" t="s">
        <v>19</v>
      </c>
      <c r="K725" s="4" t="s">
        <v>20</v>
      </c>
      <c r="L725" s="9">
        <v>45404</v>
      </c>
      <c r="M725" s="9" t="str">
        <f>TEXT(Source_data[[#This Row],[Listing_Date]],"mmm-yy")</f>
        <v>Apr-24</v>
      </c>
      <c r="N725" s="4">
        <f t="shared" si="11"/>
        <v>8643.6533546325882</v>
      </c>
      <c r="O725" s="3" cm="1">
        <f t="array" ref="O725">_xlfn.IFS(AND(K725="Broker",J725="Resale"),F725*0.5,AND(K725="Owner",J725="Resale"),F725*0,AND(K725="Builder",J725="Resale"),F725*0.3,AND(J725="New",K725="Broker"),F725*0.1,AND(J725="New",K725="Owner"),F725*0,AND(J725="New",K725="Builder"),F725*0.5)</f>
        <v>1082185.4000000001</v>
      </c>
    </row>
    <row r="726" spans="1:15" x14ac:dyDescent="0.3">
      <c r="A726" s="8" t="s">
        <v>782</v>
      </c>
      <c r="B726" s="4" t="s">
        <v>679</v>
      </c>
      <c r="C726" s="4" t="s">
        <v>698</v>
      </c>
      <c r="D726" s="4">
        <v>3</v>
      </c>
      <c r="E726" s="4">
        <v>1182</v>
      </c>
      <c r="F726" s="4">
        <v>8929062</v>
      </c>
      <c r="G726" s="4">
        <v>2</v>
      </c>
      <c r="H726" s="4">
        <v>2</v>
      </c>
      <c r="I726" s="4" t="s">
        <v>8</v>
      </c>
      <c r="J726" s="4" t="s">
        <v>19</v>
      </c>
      <c r="K726" s="4" t="s">
        <v>36</v>
      </c>
      <c r="L726" s="9">
        <v>45858</v>
      </c>
      <c r="M726" s="9" t="str">
        <f>TEXT(Source_data[[#This Row],[Listing_Date]],"mmm-yy")</f>
        <v>Jul-25</v>
      </c>
      <c r="N726" s="4">
        <f t="shared" si="11"/>
        <v>7554.1979695431473</v>
      </c>
      <c r="O726" s="3" cm="1">
        <f t="array" ref="O726">_xlfn.IFS(AND(K726="Broker",J726="Resale"),F726*0.5,AND(K726="Owner",J726="Resale"),F726*0,AND(K726="Builder",J726="Resale"),F726*0.3,AND(J726="New",K726="Broker"),F726*0.1,AND(J726="New",K726="Owner"),F726*0,AND(J726="New",K726="Builder"),F726*0.5)</f>
        <v>0</v>
      </c>
    </row>
    <row r="727" spans="1:15" x14ac:dyDescent="0.3">
      <c r="A727" s="8" t="s">
        <v>783</v>
      </c>
      <c r="B727" s="4" t="s">
        <v>679</v>
      </c>
      <c r="C727" s="4" t="s">
        <v>691</v>
      </c>
      <c r="D727" s="4">
        <v>3</v>
      </c>
      <c r="E727" s="4">
        <v>1568</v>
      </c>
      <c r="F727" s="4">
        <v>13403829</v>
      </c>
      <c r="G727" s="4">
        <v>3</v>
      </c>
      <c r="H727" s="4">
        <v>1</v>
      </c>
      <c r="I727" s="4" t="s">
        <v>18</v>
      </c>
      <c r="J727" s="4" t="s">
        <v>19</v>
      </c>
      <c r="K727" s="4" t="s">
        <v>36</v>
      </c>
      <c r="L727" s="9">
        <v>45543</v>
      </c>
      <c r="M727" s="9" t="str">
        <f>TEXT(Source_data[[#This Row],[Listing_Date]],"mmm-yy")</f>
        <v>Sep-24</v>
      </c>
      <c r="N727" s="4">
        <f t="shared" si="11"/>
        <v>8548.3603316326535</v>
      </c>
      <c r="O727" s="3" cm="1">
        <f t="array" ref="O727">_xlfn.IFS(AND(K727="Broker",J727="Resale"),F727*0.5,AND(K727="Owner",J727="Resale"),F727*0,AND(K727="Builder",J727="Resale"),F727*0.3,AND(J727="New",K727="Broker"),F727*0.1,AND(J727="New",K727="Owner"),F727*0,AND(J727="New",K727="Builder"),F727*0.5)</f>
        <v>0</v>
      </c>
    </row>
    <row r="728" spans="1:15" x14ac:dyDescent="0.3">
      <c r="A728" s="8" t="s">
        <v>784</v>
      </c>
      <c r="B728" s="4" t="s">
        <v>679</v>
      </c>
      <c r="C728" s="4" t="s">
        <v>680</v>
      </c>
      <c r="D728" s="4">
        <v>2</v>
      </c>
      <c r="E728" s="4">
        <v>1017</v>
      </c>
      <c r="F728" s="4">
        <v>13305741</v>
      </c>
      <c r="G728" s="4">
        <v>2</v>
      </c>
      <c r="H728" s="4">
        <v>1</v>
      </c>
      <c r="I728" s="4" t="s">
        <v>27</v>
      </c>
      <c r="J728" s="4" t="s">
        <v>23</v>
      </c>
      <c r="K728" s="4" t="s">
        <v>24</v>
      </c>
      <c r="L728" s="9">
        <v>45171</v>
      </c>
      <c r="M728" s="9" t="str">
        <f>TEXT(Source_data[[#This Row],[Listing_Date]],"mmm-yy")</f>
        <v>Sep-23</v>
      </c>
      <c r="N728" s="4">
        <f t="shared" si="11"/>
        <v>13083.324483775812</v>
      </c>
      <c r="O728" s="3" cm="1">
        <f t="array" ref="O728">_xlfn.IFS(AND(K728="Broker",J728="Resale"),F728*0.5,AND(K728="Owner",J728="Resale"),F728*0,AND(K728="Builder",J728="Resale"),F728*0.3,AND(J728="New",K728="Broker"),F728*0.1,AND(J728="New",K728="Owner"),F728*0,AND(J728="New",K728="Builder"),F728*0.5)</f>
        <v>3991722.3</v>
      </c>
    </row>
    <row r="729" spans="1:15" x14ac:dyDescent="0.3">
      <c r="A729" s="8" t="s">
        <v>785</v>
      </c>
      <c r="B729" s="4" t="s">
        <v>679</v>
      </c>
      <c r="C729" s="4" t="s">
        <v>698</v>
      </c>
      <c r="D729" s="4">
        <v>3</v>
      </c>
      <c r="E729" s="4">
        <v>1267</v>
      </c>
      <c r="F729" s="4">
        <v>7852201</v>
      </c>
      <c r="G729" s="4">
        <v>2</v>
      </c>
      <c r="H729" s="4">
        <v>2</v>
      </c>
      <c r="I729" s="4" t="s">
        <v>27</v>
      </c>
      <c r="J729" s="4" t="s">
        <v>19</v>
      </c>
      <c r="K729" s="4" t="s">
        <v>24</v>
      </c>
      <c r="L729" s="9">
        <v>45313</v>
      </c>
      <c r="M729" s="9" t="str">
        <f>TEXT(Source_data[[#This Row],[Listing_Date]],"mmm-yy")</f>
        <v>Jan-24</v>
      </c>
      <c r="N729" s="4">
        <f t="shared" si="11"/>
        <v>6197.4751381215474</v>
      </c>
      <c r="O729" s="3" cm="1">
        <f t="array" ref="O729">_xlfn.IFS(AND(K729="Broker",J729="Resale"),F729*0.5,AND(K729="Owner",J729="Resale"),F729*0,AND(K729="Builder",J729="Resale"),F729*0.3,AND(J729="New",K729="Broker"),F729*0.1,AND(J729="New",K729="Owner"),F729*0,AND(J729="New",K729="Builder"),F729*0.5)</f>
        <v>3926100.5</v>
      </c>
    </row>
    <row r="730" spans="1:15" x14ac:dyDescent="0.3">
      <c r="A730" s="8" t="s">
        <v>786</v>
      </c>
      <c r="B730" s="4" t="s">
        <v>679</v>
      </c>
      <c r="C730" s="4" t="s">
        <v>686</v>
      </c>
      <c r="D730" s="4">
        <v>3</v>
      </c>
      <c r="E730" s="4">
        <v>1451</v>
      </c>
      <c r="F730" s="4">
        <v>11781508</v>
      </c>
      <c r="G730" s="4">
        <v>3</v>
      </c>
      <c r="H730" s="4">
        <v>1</v>
      </c>
      <c r="I730" s="4" t="s">
        <v>8</v>
      </c>
      <c r="J730" s="4" t="s">
        <v>23</v>
      </c>
      <c r="K730" s="4" t="s">
        <v>20</v>
      </c>
      <c r="L730" s="9">
        <v>45864</v>
      </c>
      <c r="M730" s="9" t="str">
        <f>TEXT(Source_data[[#This Row],[Listing_Date]],"mmm-yy")</f>
        <v>Jul-25</v>
      </c>
      <c r="N730" s="4">
        <f t="shared" si="11"/>
        <v>8119.57822191592</v>
      </c>
      <c r="O730" s="3" cm="1">
        <f t="array" ref="O730">_xlfn.IFS(AND(K730="Broker",J730="Resale"),F730*0.5,AND(K730="Owner",J730="Resale"),F730*0,AND(K730="Builder",J730="Resale"),F730*0.3,AND(J730="New",K730="Broker"),F730*0.1,AND(J730="New",K730="Owner"),F730*0,AND(J730="New",K730="Builder"),F730*0.5)</f>
        <v>5890754</v>
      </c>
    </row>
    <row r="731" spans="1:15" x14ac:dyDescent="0.3">
      <c r="A731" s="8" t="s">
        <v>787</v>
      </c>
      <c r="B731" s="4" t="s">
        <v>679</v>
      </c>
      <c r="C731" s="4" t="s">
        <v>684</v>
      </c>
      <c r="D731" s="4">
        <v>2</v>
      </c>
      <c r="E731" s="4">
        <v>1469</v>
      </c>
      <c r="F731" s="4">
        <v>14138665</v>
      </c>
      <c r="G731" s="4">
        <v>2</v>
      </c>
      <c r="H731" s="4">
        <v>0</v>
      </c>
      <c r="I731" s="4" t="s">
        <v>18</v>
      </c>
      <c r="J731" s="4" t="s">
        <v>23</v>
      </c>
      <c r="K731" s="4" t="s">
        <v>36</v>
      </c>
      <c r="L731" s="9">
        <v>45562</v>
      </c>
      <c r="M731" s="9" t="str">
        <f>TEXT(Source_data[[#This Row],[Listing_Date]],"mmm-yy")</f>
        <v>Sep-24</v>
      </c>
      <c r="N731" s="4">
        <f t="shared" si="11"/>
        <v>9624.6868618107565</v>
      </c>
      <c r="O731" s="3" cm="1">
        <f t="array" ref="O731">_xlfn.IFS(AND(K731="Broker",J731="Resale"),F731*0.5,AND(K731="Owner",J731="Resale"),F731*0,AND(K731="Builder",J731="Resale"),F731*0.3,AND(J731="New",K731="Broker"),F731*0.1,AND(J731="New",K731="Owner"),F731*0,AND(J731="New",K731="Builder"),F731*0.5)</f>
        <v>0</v>
      </c>
    </row>
    <row r="732" spans="1:15" x14ac:dyDescent="0.3">
      <c r="A732" s="8" t="s">
        <v>788</v>
      </c>
      <c r="B732" s="4" t="s">
        <v>679</v>
      </c>
      <c r="C732" s="4" t="s">
        <v>684</v>
      </c>
      <c r="D732" s="4">
        <v>2</v>
      </c>
      <c r="E732" s="4">
        <v>1203</v>
      </c>
      <c r="F732" s="4">
        <v>10024183</v>
      </c>
      <c r="G732" s="4">
        <v>2</v>
      </c>
      <c r="H732" s="4">
        <v>2</v>
      </c>
      <c r="I732" s="4" t="s">
        <v>18</v>
      </c>
      <c r="J732" s="4" t="s">
        <v>23</v>
      </c>
      <c r="K732" s="4" t="s">
        <v>24</v>
      </c>
      <c r="L732" s="9">
        <v>45230</v>
      </c>
      <c r="M732" s="9" t="str">
        <f>TEXT(Source_data[[#This Row],[Listing_Date]],"mmm-yy")</f>
        <v>Oct-23</v>
      </c>
      <c r="N732" s="4">
        <f t="shared" si="11"/>
        <v>8332.6541978387359</v>
      </c>
      <c r="O732" s="3" cm="1">
        <f t="array" ref="O732">_xlfn.IFS(AND(K732="Broker",J732="Resale"),F732*0.5,AND(K732="Owner",J732="Resale"),F732*0,AND(K732="Builder",J732="Resale"),F732*0.3,AND(J732="New",K732="Broker"),F732*0.1,AND(J732="New",K732="Owner"),F732*0,AND(J732="New",K732="Builder"),F732*0.5)</f>
        <v>3007254.9</v>
      </c>
    </row>
    <row r="733" spans="1:15" x14ac:dyDescent="0.3">
      <c r="A733" s="8" t="s">
        <v>789</v>
      </c>
      <c r="B733" s="4" t="s">
        <v>679</v>
      </c>
      <c r="C733" s="4" t="s">
        <v>698</v>
      </c>
      <c r="D733" s="4">
        <v>3</v>
      </c>
      <c r="E733" s="4">
        <v>1204</v>
      </c>
      <c r="F733" s="4">
        <v>5037628</v>
      </c>
      <c r="G733" s="4">
        <v>2</v>
      </c>
      <c r="H733" s="4">
        <v>2</v>
      </c>
      <c r="I733" s="4" t="s">
        <v>8</v>
      </c>
      <c r="J733" s="4" t="s">
        <v>19</v>
      </c>
      <c r="K733" s="4" t="s">
        <v>24</v>
      </c>
      <c r="L733" s="9">
        <v>45467</v>
      </c>
      <c r="M733" s="9" t="str">
        <f>TEXT(Source_data[[#This Row],[Listing_Date]],"mmm-yy")</f>
        <v>Jun-24</v>
      </c>
      <c r="N733" s="4">
        <f t="shared" si="11"/>
        <v>4184.0764119601326</v>
      </c>
      <c r="O733" s="3" cm="1">
        <f t="array" ref="O733">_xlfn.IFS(AND(K733="Broker",J733="Resale"),F733*0.5,AND(K733="Owner",J733="Resale"),F733*0,AND(K733="Builder",J733="Resale"),F733*0.3,AND(J733="New",K733="Broker"),F733*0.1,AND(J733="New",K733="Owner"),F733*0,AND(J733="New",K733="Builder"),F733*0.5)</f>
        <v>2518814</v>
      </c>
    </row>
    <row r="734" spans="1:15" x14ac:dyDescent="0.3">
      <c r="A734" s="8" t="s">
        <v>790</v>
      </c>
      <c r="B734" s="4" t="s">
        <v>679</v>
      </c>
      <c r="C734" s="4" t="s">
        <v>684</v>
      </c>
      <c r="D734" s="4">
        <v>3</v>
      </c>
      <c r="E734" s="4">
        <v>1186</v>
      </c>
      <c r="F734" s="4">
        <v>9634944</v>
      </c>
      <c r="G734" s="4">
        <v>3</v>
      </c>
      <c r="H734" s="4">
        <v>2</v>
      </c>
      <c r="I734" s="4" t="s">
        <v>27</v>
      </c>
      <c r="J734" s="4" t="s">
        <v>23</v>
      </c>
      <c r="K734" s="4" t="s">
        <v>24</v>
      </c>
      <c r="L734" s="9">
        <v>45816</v>
      </c>
      <c r="M734" s="9" t="str">
        <f>TEXT(Source_data[[#This Row],[Listing_Date]],"mmm-yy")</f>
        <v>Jun-25</v>
      </c>
      <c r="N734" s="4">
        <f t="shared" si="11"/>
        <v>8123.8988195615511</v>
      </c>
      <c r="O734" s="3" cm="1">
        <f t="array" ref="O734">_xlfn.IFS(AND(K734="Broker",J734="Resale"),F734*0.5,AND(K734="Owner",J734="Resale"),F734*0,AND(K734="Builder",J734="Resale"),F734*0.3,AND(J734="New",K734="Broker"),F734*0.1,AND(J734="New",K734="Owner"),F734*0,AND(J734="New",K734="Builder"),F734*0.5)</f>
        <v>2890483.1999999997</v>
      </c>
    </row>
    <row r="735" spans="1:15" x14ac:dyDescent="0.3">
      <c r="A735" s="8" t="s">
        <v>791</v>
      </c>
      <c r="B735" s="4" t="s">
        <v>679</v>
      </c>
      <c r="C735" s="4" t="s">
        <v>698</v>
      </c>
      <c r="D735" s="4">
        <v>2</v>
      </c>
      <c r="E735" s="4">
        <v>896</v>
      </c>
      <c r="F735" s="4">
        <v>6921379</v>
      </c>
      <c r="G735" s="4">
        <v>2</v>
      </c>
      <c r="H735" s="4">
        <v>2</v>
      </c>
      <c r="I735" s="4" t="s">
        <v>18</v>
      </c>
      <c r="J735" s="4" t="s">
        <v>23</v>
      </c>
      <c r="K735" s="4" t="s">
        <v>36</v>
      </c>
      <c r="L735" s="9">
        <v>45376</v>
      </c>
      <c r="M735" s="9" t="str">
        <f>TEXT(Source_data[[#This Row],[Listing_Date]],"mmm-yy")</f>
        <v>Mar-24</v>
      </c>
      <c r="N735" s="4">
        <f t="shared" si="11"/>
        <v>7724.7533482142853</v>
      </c>
      <c r="O735" s="3" cm="1">
        <f t="array" ref="O735">_xlfn.IFS(AND(K735="Broker",J735="Resale"),F735*0.5,AND(K735="Owner",J735="Resale"),F735*0,AND(K735="Builder",J735="Resale"),F735*0.3,AND(J735="New",K735="Broker"),F735*0.1,AND(J735="New",K735="Owner"),F735*0,AND(J735="New",K735="Builder"),F735*0.5)</f>
        <v>0</v>
      </c>
    </row>
    <row r="736" spans="1:15" x14ac:dyDescent="0.3">
      <c r="A736" s="8" t="s">
        <v>792</v>
      </c>
      <c r="B736" s="4" t="s">
        <v>679</v>
      </c>
      <c r="C736" s="4" t="s">
        <v>691</v>
      </c>
      <c r="D736" s="4">
        <v>2</v>
      </c>
      <c r="E736" s="4">
        <v>1118</v>
      </c>
      <c r="F736" s="4">
        <v>10669241</v>
      </c>
      <c r="G736" s="4">
        <v>2</v>
      </c>
      <c r="H736" s="4">
        <v>2</v>
      </c>
      <c r="I736" s="4" t="s">
        <v>27</v>
      </c>
      <c r="J736" s="4" t="s">
        <v>19</v>
      </c>
      <c r="K736" s="4" t="s">
        <v>24</v>
      </c>
      <c r="L736" s="9">
        <v>45347</v>
      </c>
      <c r="M736" s="9" t="str">
        <f>TEXT(Source_data[[#This Row],[Listing_Date]],"mmm-yy")</f>
        <v>Feb-24</v>
      </c>
      <c r="N736" s="4">
        <f t="shared" si="11"/>
        <v>9543.1493738819318</v>
      </c>
      <c r="O736" s="3" cm="1">
        <f t="array" ref="O736">_xlfn.IFS(AND(K736="Broker",J736="Resale"),F736*0.5,AND(K736="Owner",J736="Resale"),F736*0,AND(K736="Builder",J736="Resale"),F736*0.3,AND(J736="New",K736="Broker"),F736*0.1,AND(J736="New",K736="Owner"),F736*0,AND(J736="New",K736="Builder"),F736*0.5)</f>
        <v>5334620.5</v>
      </c>
    </row>
    <row r="737" spans="1:15" x14ac:dyDescent="0.3">
      <c r="A737" s="8" t="s">
        <v>793</v>
      </c>
      <c r="B737" s="4" t="s">
        <v>679</v>
      </c>
      <c r="C737" s="4" t="s">
        <v>684</v>
      </c>
      <c r="D737" s="4">
        <v>2</v>
      </c>
      <c r="E737" s="4">
        <v>591</v>
      </c>
      <c r="F737" s="4">
        <v>4295970</v>
      </c>
      <c r="G737" s="4">
        <v>2</v>
      </c>
      <c r="H737" s="4">
        <v>2</v>
      </c>
      <c r="I737" s="4" t="s">
        <v>8</v>
      </c>
      <c r="J737" s="4" t="s">
        <v>19</v>
      </c>
      <c r="K737" s="4" t="s">
        <v>36</v>
      </c>
      <c r="L737" s="9">
        <v>45242</v>
      </c>
      <c r="M737" s="9" t="str">
        <f>TEXT(Source_data[[#This Row],[Listing_Date]],"mmm-yy")</f>
        <v>Nov-23</v>
      </c>
      <c r="N737" s="4">
        <f t="shared" si="11"/>
        <v>7268.9847715736041</v>
      </c>
      <c r="O737" s="3" cm="1">
        <f t="array" ref="O737">_xlfn.IFS(AND(K737="Broker",J737="Resale"),F737*0.5,AND(K737="Owner",J737="Resale"),F737*0,AND(K737="Builder",J737="Resale"),F737*0.3,AND(J737="New",K737="Broker"),F737*0.1,AND(J737="New",K737="Owner"),F737*0,AND(J737="New",K737="Builder"),F737*0.5)</f>
        <v>0</v>
      </c>
    </row>
    <row r="738" spans="1:15" x14ac:dyDescent="0.3">
      <c r="A738" s="8" t="s">
        <v>794</v>
      </c>
      <c r="B738" s="4" t="s">
        <v>679</v>
      </c>
      <c r="C738" s="4" t="s">
        <v>682</v>
      </c>
      <c r="D738" s="4">
        <v>3</v>
      </c>
      <c r="E738" s="4">
        <v>1538</v>
      </c>
      <c r="F738" s="4">
        <v>13305719</v>
      </c>
      <c r="G738" s="4">
        <v>3</v>
      </c>
      <c r="H738" s="4">
        <v>2</v>
      </c>
      <c r="I738" s="4" t="s">
        <v>8</v>
      </c>
      <c r="J738" s="4" t="s">
        <v>23</v>
      </c>
      <c r="K738" s="4" t="s">
        <v>20</v>
      </c>
      <c r="L738" s="9">
        <v>45458</v>
      </c>
      <c r="M738" s="9" t="str">
        <f>TEXT(Source_data[[#This Row],[Listing_Date]],"mmm-yy")</f>
        <v>Jun-24</v>
      </c>
      <c r="N738" s="4">
        <f t="shared" si="11"/>
        <v>8651.3127438231477</v>
      </c>
      <c r="O738" s="3" cm="1">
        <f t="array" ref="O738">_xlfn.IFS(AND(K738="Broker",J738="Resale"),F738*0.5,AND(K738="Owner",J738="Resale"),F738*0,AND(K738="Builder",J738="Resale"),F738*0.3,AND(J738="New",K738="Broker"),F738*0.1,AND(J738="New",K738="Owner"),F738*0,AND(J738="New",K738="Builder"),F738*0.5)</f>
        <v>6652859.5</v>
      </c>
    </row>
    <row r="739" spans="1:15" x14ac:dyDescent="0.3">
      <c r="A739" s="8" t="s">
        <v>795</v>
      </c>
      <c r="B739" s="4" t="s">
        <v>679</v>
      </c>
      <c r="C739" s="4" t="s">
        <v>691</v>
      </c>
      <c r="D739" s="4">
        <v>2</v>
      </c>
      <c r="E739" s="4">
        <v>1133</v>
      </c>
      <c r="F739" s="4">
        <v>10209102</v>
      </c>
      <c r="G739" s="4">
        <v>2</v>
      </c>
      <c r="H739" s="4">
        <v>1</v>
      </c>
      <c r="I739" s="4" t="s">
        <v>18</v>
      </c>
      <c r="J739" s="4" t="s">
        <v>19</v>
      </c>
      <c r="K739" s="4" t="s">
        <v>24</v>
      </c>
      <c r="L739" s="9">
        <v>45590</v>
      </c>
      <c r="M739" s="9" t="str">
        <f>TEXT(Source_data[[#This Row],[Listing_Date]],"mmm-yy")</f>
        <v>Oct-24</v>
      </c>
      <c r="N739" s="4">
        <f t="shared" si="11"/>
        <v>9010.681376875551</v>
      </c>
      <c r="O739" s="3" cm="1">
        <f t="array" ref="O739">_xlfn.IFS(AND(K739="Broker",J739="Resale"),F739*0.5,AND(K739="Owner",J739="Resale"),F739*0,AND(K739="Builder",J739="Resale"),F739*0.3,AND(J739="New",K739="Broker"),F739*0.1,AND(J739="New",K739="Owner"),F739*0,AND(J739="New",K739="Builder"),F739*0.5)</f>
        <v>5104551</v>
      </c>
    </row>
    <row r="740" spans="1:15" x14ac:dyDescent="0.3">
      <c r="A740" s="8" t="s">
        <v>796</v>
      </c>
      <c r="B740" s="4" t="s">
        <v>679</v>
      </c>
      <c r="C740" s="4" t="s">
        <v>682</v>
      </c>
      <c r="D740" s="4">
        <v>2</v>
      </c>
      <c r="E740" s="4">
        <v>765</v>
      </c>
      <c r="F740" s="4">
        <v>5190360</v>
      </c>
      <c r="G740" s="4">
        <v>2</v>
      </c>
      <c r="H740" s="4">
        <v>2</v>
      </c>
      <c r="I740" s="4" t="s">
        <v>8</v>
      </c>
      <c r="J740" s="4" t="s">
        <v>19</v>
      </c>
      <c r="K740" s="4" t="s">
        <v>36</v>
      </c>
      <c r="L740" s="9">
        <v>45555</v>
      </c>
      <c r="M740" s="9" t="str">
        <f>TEXT(Source_data[[#This Row],[Listing_Date]],"mmm-yy")</f>
        <v>Sep-24</v>
      </c>
      <c r="N740" s="4">
        <f t="shared" si="11"/>
        <v>6784.7843137254904</v>
      </c>
      <c r="O740" s="3" cm="1">
        <f t="array" ref="O740">_xlfn.IFS(AND(K740="Broker",J740="Resale"),F740*0.5,AND(K740="Owner",J740="Resale"),F740*0,AND(K740="Builder",J740="Resale"),F740*0.3,AND(J740="New",K740="Broker"),F740*0.1,AND(J740="New",K740="Owner"),F740*0,AND(J740="New",K740="Builder"),F740*0.5)</f>
        <v>0</v>
      </c>
    </row>
    <row r="741" spans="1:15" x14ac:dyDescent="0.3">
      <c r="A741" s="8" t="s">
        <v>797</v>
      </c>
      <c r="B741" s="4" t="s">
        <v>679</v>
      </c>
      <c r="C741" s="4" t="s">
        <v>684</v>
      </c>
      <c r="D741" s="4">
        <v>2</v>
      </c>
      <c r="E741" s="4">
        <v>741</v>
      </c>
      <c r="F741" s="4">
        <v>7758965</v>
      </c>
      <c r="G741" s="4">
        <v>2</v>
      </c>
      <c r="H741" s="4">
        <v>3</v>
      </c>
      <c r="I741" s="4" t="s">
        <v>8</v>
      </c>
      <c r="J741" s="4" t="s">
        <v>23</v>
      </c>
      <c r="K741" s="4" t="s">
        <v>20</v>
      </c>
      <c r="L741" s="9">
        <v>45021</v>
      </c>
      <c r="M741" s="9" t="str">
        <f>TEXT(Source_data[[#This Row],[Listing_Date]],"mmm-yy")</f>
        <v>Apr-23</v>
      </c>
      <c r="N741" s="4">
        <f t="shared" si="11"/>
        <v>10470.937921727396</v>
      </c>
      <c r="O741" s="3" cm="1">
        <f t="array" ref="O741">_xlfn.IFS(AND(K741="Broker",J741="Resale"),F741*0.5,AND(K741="Owner",J741="Resale"),F741*0,AND(K741="Builder",J741="Resale"),F741*0.3,AND(J741="New",K741="Broker"),F741*0.1,AND(J741="New",K741="Owner"),F741*0,AND(J741="New",K741="Builder"),F741*0.5)</f>
        <v>3879482.5</v>
      </c>
    </row>
    <row r="742" spans="1:15" x14ac:dyDescent="0.3">
      <c r="A742" s="8" t="s">
        <v>798</v>
      </c>
      <c r="B742" s="4" t="s">
        <v>679</v>
      </c>
      <c r="C742" s="4" t="s">
        <v>680</v>
      </c>
      <c r="D742" s="4">
        <v>3</v>
      </c>
      <c r="E742" s="4">
        <v>1816</v>
      </c>
      <c r="F742" s="4">
        <v>16516397</v>
      </c>
      <c r="G742" s="4">
        <v>4</v>
      </c>
      <c r="H742" s="4">
        <v>1</v>
      </c>
      <c r="I742" s="4" t="s">
        <v>18</v>
      </c>
      <c r="J742" s="4" t="s">
        <v>23</v>
      </c>
      <c r="K742" s="4" t="s">
        <v>20</v>
      </c>
      <c r="L742" s="9">
        <v>45471</v>
      </c>
      <c r="M742" s="9" t="str">
        <f>TEXT(Source_data[[#This Row],[Listing_Date]],"mmm-yy")</f>
        <v>Jun-24</v>
      </c>
      <c r="N742" s="4">
        <f t="shared" si="11"/>
        <v>9094.9322687224667</v>
      </c>
      <c r="O742" s="3" cm="1">
        <f t="array" ref="O742">_xlfn.IFS(AND(K742="Broker",J742="Resale"),F742*0.5,AND(K742="Owner",J742="Resale"),F742*0,AND(K742="Builder",J742="Resale"),F742*0.3,AND(J742="New",K742="Broker"),F742*0.1,AND(J742="New",K742="Owner"),F742*0,AND(J742="New",K742="Builder"),F742*0.5)</f>
        <v>8258198.5</v>
      </c>
    </row>
    <row r="743" spans="1:15" x14ac:dyDescent="0.3">
      <c r="A743" s="8" t="s">
        <v>799</v>
      </c>
      <c r="B743" s="4" t="s">
        <v>679</v>
      </c>
      <c r="C743" s="4" t="s">
        <v>682</v>
      </c>
      <c r="D743" s="4">
        <v>4</v>
      </c>
      <c r="E743" s="4">
        <v>1204</v>
      </c>
      <c r="F743" s="4">
        <v>12066956</v>
      </c>
      <c r="G743" s="4">
        <v>2</v>
      </c>
      <c r="H743" s="4">
        <v>2</v>
      </c>
      <c r="I743" s="4" t="s">
        <v>8</v>
      </c>
      <c r="J743" s="4" t="s">
        <v>19</v>
      </c>
      <c r="K743" s="4" t="s">
        <v>24</v>
      </c>
      <c r="L743" s="9">
        <v>45307</v>
      </c>
      <c r="M743" s="9" t="str">
        <f>TEXT(Source_data[[#This Row],[Listing_Date]],"mmm-yy")</f>
        <v>Jan-24</v>
      </c>
      <c r="N743" s="4">
        <f t="shared" si="11"/>
        <v>10022.388704318937</v>
      </c>
      <c r="O743" s="3" cm="1">
        <f t="array" ref="O743">_xlfn.IFS(AND(K743="Broker",J743="Resale"),F743*0.5,AND(K743="Owner",J743="Resale"),F743*0,AND(K743="Builder",J743="Resale"),F743*0.3,AND(J743="New",K743="Broker"),F743*0.1,AND(J743="New",K743="Owner"),F743*0,AND(J743="New",K743="Builder"),F743*0.5)</f>
        <v>6033478</v>
      </c>
    </row>
    <row r="744" spans="1:15" x14ac:dyDescent="0.3">
      <c r="A744" s="8" t="s">
        <v>800</v>
      </c>
      <c r="B744" s="4" t="s">
        <v>679</v>
      </c>
      <c r="C744" s="4" t="s">
        <v>698</v>
      </c>
      <c r="D744" s="4">
        <v>3</v>
      </c>
      <c r="E744" s="4">
        <v>1184</v>
      </c>
      <c r="F744" s="4">
        <v>12288179</v>
      </c>
      <c r="G744" s="4">
        <v>3</v>
      </c>
      <c r="H744" s="4">
        <v>2</v>
      </c>
      <c r="I744" s="4" t="s">
        <v>8</v>
      </c>
      <c r="J744" s="4" t="s">
        <v>23</v>
      </c>
      <c r="K744" s="4" t="s">
        <v>36</v>
      </c>
      <c r="L744" s="9">
        <v>45491</v>
      </c>
      <c r="M744" s="9" t="str">
        <f>TEXT(Source_data[[#This Row],[Listing_Date]],"mmm-yy")</f>
        <v>Jul-24</v>
      </c>
      <c r="N744" s="4">
        <f t="shared" si="11"/>
        <v>10378.52956081081</v>
      </c>
      <c r="O744" s="3" cm="1">
        <f t="array" ref="O744">_xlfn.IFS(AND(K744="Broker",J744="Resale"),F744*0.5,AND(K744="Owner",J744="Resale"),F744*0,AND(K744="Builder",J744="Resale"),F744*0.3,AND(J744="New",K744="Broker"),F744*0.1,AND(J744="New",K744="Owner"),F744*0,AND(J744="New",K744="Builder"),F744*0.5)</f>
        <v>0</v>
      </c>
    </row>
    <row r="745" spans="1:15" x14ac:dyDescent="0.3">
      <c r="A745" s="8" t="s">
        <v>801</v>
      </c>
      <c r="B745" s="4" t="s">
        <v>679</v>
      </c>
      <c r="C745" s="4" t="s">
        <v>684</v>
      </c>
      <c r="D745" s="4">
        <v>4</v>
      </c>
      <c r="E745" s="4">
        <v>1403</v>
      </c>
      <c r="F745" s="4">
        <v>11989052</v>
      </c>
      <c r="G745" s="4">
        <v>3</v>
      </c>
      <c r="H745" s="4">
        <v>1</v>
      </c>
      <c r="I745" s="4" t="s">
        <v>18</v>
      </c>
      <c r="J745" s="4" t="s">
        <v>23</v>
      </c>
      <c r="K745" s="4" t="s">
        <v>24</v>
      </c>
      <c r="L745" s="9">
        <v>45416</v>
      </c>
      <c r="M745" s="9" t="str">
        <f>TEXT(Source_data[[#This Row],[Listing_Date]],"mmm-yy")</f>
        <v>May-24</v>
      </c>
      <c r="N745" s="4">
        <f t="shared" si="11"/>
        <v>8545.2972202423371</v>
      </c>
      <c r="O745" s="3" cm="1">
        <f t="array" ref="O745">_xlfn.IFS(AND(K745="Broker",J745="Resale"),F745*0.5,AND(K745="Owner",J745="Resale"),F745*0,AND(K745="Builder",J745="Resale"),F745*0.3,AND(J745="New",K745="Broker"),F745*0.1,AND(J745="New",K745="Owner"),F745*0,AND(J745="New",K745="Builder"),F745*0.5)</f>
        <v>3596715.6</v>
      </c>
    </row>
    <row r="746" spans="1:15" x14ac:dyDescent="0.3">
      <c r="A746" s="8" t="s">
        <v>802</v>
      </c>
      <c r="B746" s="4" t="s">
        <v>679</v>
      </c>
      <c r="C746" s="4" t="s">
        <v>684</v>
      </c>
      <c r="D746" s="4">
        <v>3</v>
      </c>
      <c r="E746" s="4">
        <v>1028</v>
      </c>
      <c r="F746" s="4">
        <v>10908576</v>
      </c>
      <c r="G746" s="4">
        <v>3</v>
      </c>
      <c r="H746" s="4">
        <v>1</v>
      </c>
      <c r="I746" s="4" t="s">
        <v>27</v>
      </c>
      <c r="J746" s="4" t="s">
        <v>19</v>
      </c>
      <c r="K746" s="4" t="s">
        <v>20</v>
      </c>
      <c r="L746" s="9">
        <v>45586</v>
      </c>
      <c r="M746" s="9" t="str">
        <f>TEXT(Source_data[[#This Row],[Listing_Date]],"mmm-yy")</f>
        <v>Oct-24</v>
      </c>
      <c r="N746" s="4">
        <f t="shared" si="11"/>
        <v>10611.455252918287</v>
      </c>
      <c r="O746" s="3" cm="1">
        <f t="array" ref="O746">_xlfn.IFS(AND(K746="Broker",J746="Resale"),F746*0.5,AND(K746="Owner",J746="Resale"),F746*0,AND(K746="Builder",J746="Resale"),F746*0.3,AND(J746="New",K746="Broker"),F746*0.1,AND(J746="New",K746="Owner"),F746*0,AND(J746="New",K746="Builder"),F746*0.5)</f>
        <v>1090857.6000000001</v>
      </c>
    </row>
    <row r="747" spans="1:15" x14ac:dyDescent="0.3">
      <c r="A747" s="8" t="s">
        <v>803</v>
      </c>
      <c r="B747" s="4" t="s">
        <v>679</v>
      </c>
      <c r="C747" s="4" t="s">
        <v>698</v>
      </c>
      <c r="D747" s="4">
        <v>4</v>
      </c>
      <c r="E747" s="4">
        <v>1664</v>
      </c>
      <c r="F747" s="4">
        <v>14732863</v>
      </c>
      <c r="G747" s="4">
        <v>4</v>
      </c>
      <c r="H747" s="4">
        <v>1</v>
      </c>
      <c r="I747" s="4" t="s">
        <v>8</v>
      </c>
      <c r="J747" s="4" t="s">
        <v>19</v>
      </c>
      <c r="K747" s="4" t="s">
        <v>20</v>
      </c>
      <c r="L747" s="9">
        <v>45477</v>
      </c>
      <c r="M747" s="9" t="str">
        <f>TEXT(Source_data[[#This Row],[Listing_Date]],"mmm-yy")</f>
        <v>Jul-24</v>
      </c>
      <c r="N747" s="4">
        <f t="shared" si="11"/>
        <v>8853.8840144230762</v>
      </c>
      <c r="O747" s="3" cm="1">
        <f t="array" ref="O747">_xlfn.IFS(AND(K747="Broker",J747="Resale"),F747*0.5,AND(K747="Owner",J747="Resale"),F747*0,AND(K747="Builder",J747="Resale"),F747*0.3,AND(J747="New",K747="Broker"),F747*0.1,AND(J747="New",K747="Owner"),F747*0,AND(J747="New",K747="Builder"),F747*0.5)</f>
        <v>1473286.3</v>
      </c>
    </row>
    <row r="748" spans="1:15" x14ac:dyDescent="0.3">
      <c r="A748" s="8" t="s">
        <v>804</v>
      </c>
      <c r="B748" s="4" t="s">
        <v>679</v>
      </c>
      <c r="C748" s="4" t="s">
        <v>686</v>
      </c>
      <c r="D748" s="4">
        <v>3</v>
      </c>
      <c r="E748" s="4">
        <v>1526</v>
      </c>
      <c r="F748" s="4">
        <v>13295123</v>
      </c>
      <c r="G748" s="4">
        <v>3</v>
      </c>
      <c r="H748" s="4">
        <v>1</v>
      </c>
      <c r="I748" s="4" t="s">
        <v>18</v>
      </c>
      <c r="J748" s="4" t="s">
        <v>23</v>
      </c>
      <c r="K748" s="4" t="s">
        <v>24</v>
      </c>
      <c r="L748" s="9">
        <v>45031</v>
      </c>
      <c r="M748" s="9" t="str">
        <f>TEXT(Source_data[[#This Row],[Listing_Date]],"mmm-yy")</f>
        <v>Apr-23</v>
      </c>
      <c r="N748" s="4">
        <f t="shared" si="11"/>
        <v>8712.4003931847965</v>
      </c>
      <c r="O748" s="3" cm="1">
        <f t="array" ref="O748">_xlfn.IFS(AND(K748="Broker",J748="Resale"),F748*0.5,AND(K748="Owner",J748="Resale"),F748*0,AND(K748="Builder",J748="Resale"),F748*0.3,AND(J748="New",K748="Broker"),F748*0.1,AND(J748="New",K748="Owner"),F748*0,AND(J748="New",K748="Builder"),F748*0.5)</f>
        <v>3988536.9</v>
      </c>
    </row>
    <row r="749" spans="1:15" x14ac:dyDescent="0.3">
      <c r="A749" s="8" t="s">
        <v>805</v>
      </c>
      <c r="B749" s="4" t="s">
        <v>679</v>
      </c>
      <c r="C749" s="4" t="s">
        <v>682</v>
      </c>
      <c r="D749" s="4">
        <v>3</v>
      </c>
      <c r="E749" s="4">
        <v>1630</v>
      </c>
      <c r="F749" s="4">
        <v>8035252</v>
      </c>
      <c r="G749" s="4">
        <v>3</v>
      </c>
      <c r="H749" s="4">
        <v>1</v>
      </c>
      <c r="I749" s="4" t="s">
        <v>18</v>
      </c>
      <c r="J749" s="4" t="s">
        <v>23</v>
      </c>
      <c r="K749" s="4" t="s">
        <v>36</v>
      </c>
      <c r="L749" s="9">
        <v>45168</v>
      </c>
      <c r="M749" s="9" t="str">
        <f>TEXT(Source_data[[#This Row],[Listing_Date]],"mmm-yy")</f>
        <v>Aug-23</v>
      </c>
      <c r="N749" s="4">
        <f t="shared" si="11"/>
        <v>4929.6024539877299</v>
      </c>
      <c r="O749" s="3" cm="1">
        <f t="array" ref="O749">_xlfn.IFS(AND(K749="Broker",J749="Resale"),F749*0.5,AND(K749="Owner",J749="Resale"),F749*0,AND(K749="Builder",J749="Resale"),F749*0.3,AND(J749="New",K749="Broker"),F749*0.1,AND(J749="New",K749="Owner"),F749*0,AND(J749="New",K749="Builder"),F749*0.5)</f>
        <v>0</v>
      </c>
    </row>
    <row r="750" spans="1:15" x14ac:dyDescent="0.3">
      <c r="A750" s="8" t="s">
        <v>806</v>
      </c>
      <c r="B750" s="4" t="s">
        <v>679</v>
      </c>
      <c r="C750" s="4" t="s">
        <v>684</v>
      </c>
      <c r="D750" s="4">
        <v>3</v>
      </c>
      <c r="E750" s="4">
        <v>1195</v>
      </c>
      <c r="F750" s="4">
        <v>11003415</v>
      </c>
      <c r="G750" s="4">
        <v>2</v>
      </c>
      <c r="H750" s="4">
        <v>4</v>
      </c>
      <c r="I750" s="4" t="s">
        <v>27</v>
      </c>
      <c r="J750" s="4" t="s">
        <v>19</v>
      </c>
      <c r="K750" s="4" t="s">
        <v>24</v>
      </c>
      <c r="L750" s="9">
        <v>45741</v>
      </c>
      <c r="M750" s="9" t="str">
        <f>TEXT(Source_data[[#This Row],[Listing_Date]],"mmm-yy")</f>
        <v>Mar-25</v>
      </c>
      <c r="N750" s="4">
        <f t="shared" si="11"/>
        <v>9207.8786610878669</v>
      </c>
      <c r="O750" s="3" cm="1">
        <f t="array" ref="O750">_xlfn.IFS(AND(K750="Broker",J750="Resale"),F750*0.5,AND(K750="Owner",J750="Resale"),F750*0,AND(K750="Builder",J750="Resale"),F750*0.3,AND(J750="New",K750="Broker"),F750*0.1,AND(J750="New",K750="Owner"),F750*0,AND(J750="New",K750="Builder"),F750*0.5)</f>
        <v>5501707.5</v>
      </c>
    </row>
    <row r="751" spans="1:15" x14ac:dyDescent="0.3">
      <c r="A751" s="8" t="s">
        <v>807</v>
      </c>
      <c r="B751" s="4" t="s">
        <v>679</v>
      </c>
      <c r="C751" s="4" t="s">
        <v>684</v>
      </c>
      <c r="D751" s="4">
        <v>2</v>
      </c>
      <c r="E751" s="4">
        <v>651</v>
      </c>
      <c r="F751" s="4">
        <v>6715027</v>
      </c>
      <c r="G751" s="4">
        <v>3</v>
      </c>
      <c r="H751" s="4">
        <v>1</v>
      </c>
      <c r="I751" s="4" t="s">
        <v>8</v>
      </c>
      <c r="J751" s="4" t="s">
        <v>23</v>
      </c>
      <c r="K751" s="4" t="s">
        <v>24</v>
      </c>
      <c r="L751" s="9">
        <v>45490</v>
      </c>
      <c r="M751" s="9" t="str">
        <f>TEXT(Source_data[[#This Row],[Listing_Date]],"mmm-yy")</f>
        <v>Jul-24</v>
      </c>
      <c r="N751" s="4">
        <f t="shared" si="11"/>
        <v>10314.941628264209</v>
      </c>
      <c r="O751" s="3" cm="1">
        <f t="array" ref="O751">_xlfn.IFS(AND(K751="Broker",J751="Resale"),F751*0.5,AND(K751="Owner",J751="Resale"),F751*0,AND(K751="Builder",J751="Resale"),F751*0.3,AND(J751="New",K751="Broker"),F751*0.1,AND(J751="New",K751="Owner"),F751*0,AND(J751="New",K751="Builder"),F751*0.5)</f>
        <v>2014508.0999999999</v>
      </c>
    </row>
    <row r="752" spans="1:15" x14ac:dyDescent="0.3">
      <c r="A752" s="8" t="s">
        <v>808</v>
      </c>
      <c r="B752" s="4" t="s">
        <v>679</v>
      </c>
      <c r="C752" s="4" t="s">
        <v>698</v>
      </c>
      <c r="D752" s="4">
        <v>2</v>
      </c>
      <c r="E752" s="4">
        <v>1165</v>
      </c>
      <c r="F752" s="4">
        <v>11052271</v>
      </c>
      <c r="G752" s="4">
        <v>3</v>
      </c>
      <c r="H752" s="4">
        <v>2</v>
      </c>
      <c r="I752" s="4" t="s">
        <v>8</v>
      </c>
      <c r="J752" s="4" t="s">
        <v>23</v>
      </c>
      <c r="K752" s="4" t="s">
        <v>36</v>
      </c>
      <c r="L752" s="9">
        <v>45585</v>
      </c>
      <c r="M752" s="9" t="str">
        <f>TEXT(Source_data[[#This Row],[Listing_Date]],"mmm-yy")</f>
        <v>Oct-24</v>
      </c>
      <c r="N752" s="4">
        <f t="shared" si="11"/>
        <v>9486.9278969957086</v>
      </c>
      <c r="O752" s="3" cm="1">
        <f t="array" ref="O752">_xlfn.IFS(AND(K752="Broker",J752="Resale"),F752*0.5,AND(K752="Owner",J752="Resale"),F752*0,AND(K752="Builder",J752="Resale"),F752*0.3,AND(J752="New",K752="Broker"),F752*0.1,AND(J752="New",K752="Owner"),F752*0,AND(J752="New",K752="Builder"),F752*0.5)</f>
        <v>0</v>
      </c>
    </row>
    <row r="753" spans="1:15" x14ac:dyDescent="0.3">
      <c r="A753" s="8" t="s">
        <v>809</v>
      </c>
      <c r="B753" s="4" t="s">
        <v>679</v>
      </c>
      <c r="C753" s="4" t="s">
        <v>686</v>
      </c>
      <c r="D753" s="4">
        <v>2</v>
      </c>
      <c r="E753" s="4">
        <v>1043</v>
      </c>
      <c r="F753" s="4">
        <v>9581652</v>
      </c>
      <c r="G753" s="4">
        <v>2</v>
      </c>
      <c r="H753" s="4">
        <v>3</v>
      </c>
      <c r="I753" s="4" t="s">
        <v>8</v>
      </c>
      <c r="J753" s="4" t="s">
        <v>23</v>
      </c>
      <c r="K753" s="4" t="s">
        <v>20</v>
      </c>
      <c r="L753" s="9">
        <v>45855</v>
      </c>
      <c r="M753" s="9" t="str">
        <f>TEXT(Source_data[[#This Row],[Listing_Date]],"mmm-yy")</f>
        <v>Jul-25</v>
      </c>
      <c r="N753" s="4">
        <f t="shared" si="11"/>
        <v>9186.6270373921379</v>
      </c>
      <c r="O753" s="3" cm="1">
        <f t="array" ref="O753">_xlfn.IFS(AND(K753="Broker",J753="Resale"),F753*0.5,AND(K753="Owner",J753="Resale"),F753*0,AND(K753="Builder",J753="Resale"),F753*0.3,AND(J753="New",K753="Broker"),F753*0.1,AND(J753="New",K753="Owner"),F753*0,AND(J753="New",K753="Builder"),F753*0.5)</f>
        <v>4790826</v>
      </c>
    </row>
    <row r="754" spans="1:15" x14ac:dyDescent="0.3">
      <c r="A754" s="8" t="s">
        <v>810</v>
      </c>
      <c r="B754" s="4" t="s">
        <v>679</v>
      </c>
      <c r="C754" s="4" t="s">
        <v>698</v>
      </c>
      <c r="D754" s="4">
        <v>3</v>
      </c>
      <c r="E754" s="4">
        <v>1971</v>
      </c>
      <c r="F754" s="4">
        <v>16218129</v>
      </c>
      <c r="G754" s="4">
        <v>3</v>
      </c>
      <c r="H754" s="4">
        <v>3</v>
      </c>
      <c r="I754" s="4" t="s">
        <v>8</v>
      </c>
      <c r="J754" s="4" t="s">
        <v>19</v>
      </c>
      <c r="K754" s="4" t="s">
        <v>36</v>
      </c>
      <c r="L754" s="9">
        <v>45437</v>
      </c>
      <c r="M754" s="9" t="str">
        <f>TEXT(Source_data[[#This Row],[Listing_Date]],"mmm-yy")</f>
        <v>May-24</v>
      </c>
      <c r="N754" s="4">
        <f t="shared" si="11"/>
        <v>8228.3759512937595</v>
      </c>
      <c r="O754" s="3" cm="1">
        <f t="array" ref="O754">_xlfn.IFS(AND(K754="Broker",J754="Resale"),F754*0.5,AND(K754="Owner",J754="Resale"),F754*0,AND(K754="Builder",J754="Resale"),F754*0.3,AND(J754="New",K754="Broker"),F754*0.1,AND(J754="New",K754="Owner"),F754*0,AND(J754="New",K754="Builder"),F754*0.5)</f>
        <v>0</v>
      </c>
    </row>
    <row r="755" spans="1:15" x14ac:dyDescent="0.3">
      <c r="A755" s="8" t="s">
        <v>811</v>
      </c>
      <c r="B755" s="4" t="s">
        <v>679</v>
      </c>
      <c r="C755" s="4" t="s">
        <v>686</v>
      </c>
      <c r="D755" s="4">
        <v>3</v>
      </c>
      <c r="E755" s="4">
        <v>1241</v>
      </c>
      <c r="F755" s="4">
        <v>11363163</v>
      </c>
      <c r="G755" s="4">
        <v>4</v>
      </c>
      <c r="H755" s="4">
        <v>2</v>
      </c>
      <c r="I755" s="4" t="s">
        <v>8</v>
      </c>
      <c r="J755" s="4" t="s">
        <v>19</v>
      </c>
      <c r="K755" s="4" t="s">
        <v>20</v>
      </c>
      <c r="L755" s="9">
        <v>45187</v>
      </c>
      <c r="M755" s="9" t="str">
        <f>TEXT(Source_data[[#This Row],[Listing_Date]],"mmm-yy")</f>
        <v>Sep-23</v>
      </c>
      <c r="N755" s="4">
        <f t="shared" si="11"/>
        <v>9156.4568896051569</v>
      </c>
      <c r="O755" s="3" cm="1">
        <f t="array" ref="O755">_xlfn.IFS(AND(K755="Broker",J755="Resale"),F755*0.5,AND(K755="Owner",J755="Resale"),F755*0,AND(K755="Builder",J755="Resale"),F755*0.3,AND(J755="New",K755="Broker"),F755*0.1,AND(J755="New",K755="Owner"),F755*0,AND(J755="New",K755="Builder"),F755*0.5)</f>
        <v>1136316.3</v>
      </c>
    </row>
    <row r="756" spans="1:15" x14ac:dyDescent="0.3">
      <c r="A756" s="8" t="s">
        <v>812</v>
      </c>
      <c r="B756" s="4" t="s">
        <v>679</v>
      </c>
      <c r="C756" s="4" t="s">
        <v>686</v>
      </c>
      <c r="D756" s="4">
        <v>2</v>
      </c>
      <c r="E756" s="4">
        <v>1063</v>
      </c>
      <c r="F756" s="4">
        <v>10218179</v>
      </c>
      <c r="G756" s="4">
        <v>2</v>
      </c>
      <c r="H756" s="4">
        <v>1</v>
      </c>
      <c r="I756" s="4" t="s">
        <v>18</v>
      </c>
      <c r="J756" s="4" t="s">
        <v>23</v>
      </c>
      <c r="K756" s="4" t="s">
        <v>20</v>
      </c>
      <c r="L756" s="9">
        <v>45897</v>
      </c>
      <c r="M756" s="9" t="str">
        <f>TEXT(Source_data[[#This Row],[Listing_Date]],"mmm-yy")</f>
        <v>Aug-25</v>
      </c>
      <c r="N756" s="4">
        <f t="shared" si="11"/>
        <v>9612.5860771401694</v>
      </c>
      <c r="O756" s="3" cm="1">
        <f t="array" ref="O756">_xlfn.IFS(AND(K756="Broker",J756="Resale"),F756*0.5,AND(K756="Owner",J756="Resale"),F756*0,AND(K756="Builder",J756="Resale"),F756*0.3,AND(J756="New",K756="Broker"),F756*0.1,AND(J756="New",K756="Owner"),F756*0,AND(J756="New",K756="Builder"),F756*0.5)</f>
        <v>5109089.5</v>
      </c>
    </row>
    <row r="757" spans="1:15" x14ac:dyDescent="0.3">
      <c r="A757" s="8" t="s">
        <v>813</v>
      </c>
      <c r="B757" s="4" t="s">
        <v>679</v>
      </c>
      <c r="C757" s="4" t="s">
        <v>684</v>
      </c>
      <c r="D757" s="4">
        <v>5</v>
      </c>
      <c r="E757" s="4">
        <v>2995</v>
      </c>
      <c r="F757" s="4">
        <v>26514109</v>
      </c>
      <c r="G757" s="4">
        <v>3</v>
      </c>
      <c r="H757" s="4">
        <v>2</v>
      </c>
      <c r="I757" s="4" t="s">
        <v>18</v>
      </c>
      <c r="J757" s="4" t="s">
        <v>19</v>
      </c>
      <c r="K757" s="4" t="s">
        <v>36</v>
      </c>
      <c r="L757" s="9">
        <v>45330</v>
      </c>
      <c r="M757" s="9" t="str">
        <f>TEXT(Source_data[[#This Row],[Listing_Date]],"mmm-yy")</f>
        <v>Feb-24</v>
      </c>
      <c r="N757" s="4">
        <f t="shared" si="11"/>
        <v>8852.7909849749576</v>
      </c>
      <c r="O757" s="3" cm="1">
        <f t="array" ref="O757">_xlfn.IFS(AND(K757="Broker",J757="Resale"),F757*0.5,AND(K757="Owner",J757="Resale"),F757*0,AND(K757="Builder",J757="Resale"),F757*0.3,AND(J757="New",K757="Broker"),F757*0.1,AND(J757="New",K757="Owner"),F757*0,AND(J757="New",K757="Builder"),F757*0.5)</f>
        <v>0</v>
      </c>
    </row>
    <row r="758" spans="1:15" x14ac:dyDescent="0.3">
      <c r="A758" s="8" t="s">
        <v>814</v>
      </c>
      <c r="B758" s="4" t="s">
        <v>679</v>
      </c>
      <c r="C758" s="4" t="s">
        <v>698</v>
      </c>
      <c r="D758" s="4">
        <v>2</v>
      </c>
      <c r="E758" s="4">
        <v>857</v>
      </c>
      <c r="F758" s="4">
        <v>6503988</v>
      </c>
      <c r="G758" s="4">
        <v>2</v>
      </c>
      <c r="H758" s="4">
        <v>2</v>
      </c>
      <c r="I758" s="4" t="s">
        <v>18</v>
      </c>
      <c r="J758" s="4" t="s">
        <v>23</v>
      </c>
      <c r="K758" s="4" t="s">
        <v>36</v>
      </c>
      <c r="L758" s="9">
        <v>44962</v>
      </c>
      <c r="M758" s="9" t="str">
        <f>TEXT(Source_data[[#This Row],[Listing_Date]],"mmm-yy")</f>
        <v>Feb-23</v>
      </c>
      <c r="N758" s="4">
        <f t="shared" si="11"/>
        <v>7589.2508751458572</v>
      </c>
      <c r="O758" s="3" cm="1">
        <f t="array" ref="O758">_xlfn.IFS(AND(K758="Broker",J758="Resale"),F758*0.5,AND(K758="Owner",J758="Resale"),F758*0,AND(K758="Builder",J758="Resale"),F758*0.3,AND(J758="New",K758="Broker"),F758*0.1,AND(J758="New",K758="Owner"),F758*0,AND(J758="New",K758="Builder"),F758*0.5)</f>
        <v>0</v>
      </c>
    </row>
    <row r="759" spans="1:15" x14ac:dyDescent="0.3">
      <c r="A759" s="8" t="s">
        <v>815</v>
      </c>
      <c r="B759" s="4" t="s">
        <v>679</v>
      </c>
      <c r="C759" s="4" t="s">
        <v>691</v>
      </c>
      <c r="D759" s="4">
        <v>3</v>
      </c>
      <c r="E759" s="4">
        <v>1383</v>
      </c>
      <c r="F759" s="4">
        <v>12340520</v>
      </c>
      <c r="G759" s="4">
        <v>3</v>
      </c>
      <c r="H759" s="4">
        <v>2</v>
      </c>
      <c r="I759" s="4" t="s">
        <v>27</v>
      </c>
      <c r="J759" s="4" t="s">
        <v>23</v>
      </c>
      <c r="K759" s="4" t="s">
        <v>24</v>
      </c>
      <c r="L759" s="9">
        <v>45051</v>
      </c>
      <c r="M759" s="9" t="str">
        <f>TEXT(Source_data[[#This Row],[Listing_Date]],"mmm-yy")</f>
        <v>May-23</v>
      </c>
      <c r="N759" s="4">
        <f t="shared" si="11"/>
        <v>8923.0079537237889</v>
      </c>
      <c r="O759" s="3" cm="1">
        <f t="array" ref="O759">_xlfn.IFS(AND(K759="Broker",J759="Resale"),F759*0.5,AND(K759="Owner",J759="Resale"),F759*0,AND(K759="Builder",J759="Resale"),F759*0.3,AND(J759="New",K759="Broker"),F759*0.1,AND(J759="New",K759="Owner"),F759*0,AND(J759="New",K759="Builder"),F759*0.5)</f>
        <v>3702156</v>
      </c>
    </row>
    <row r="760" spans="1:15" x14ac:dyDescent="0.3">
      <c r="A760" s="8" t="s">
        <v>816</v>
      </c>
      <c r="B760" s="4" t="s">
        <v>679</v>
      </c>
      <c r="C760" s="4" t="s">
        <v>682</v>
      </c>
      <c r="D760" s="4">
        <v>2</v>
      </c>
      <c r="E760" s="4">
        <v>903</v>
      </c>
      <c r="F760" s="4">
        <v>6878047</v>
      </c>
      <c r="G760" s="4">
        <v>2</v>
      </c>
      <c r="H760" s="4">
        <v>2</v>
      </c>
      <c r="I760" s="4" t="s">
        <v>8</v>
      </c>
      <c r="J760" s="4" t="s">
        <v>23</v>
      </c>
      <c r="K760" s="4" t="s">
        <v>20</v>
      </c>
      <c r="L760" s="9">
        <v>45899</v>
      </c>
      <c r="M760" s="9" t="str">
        <f>TEXT(Source_data[[#This Row],[Listing_Date]],"mmm-yy")</f>
        <v>Aug-25</v>
      </c>
      <c r="N760" s="4">
        <f t="shared" si="11"/>
        <v>7616.8848283499447</v>
      </c>
      <c r="O760" s="3" cm="1">
        <f t="array" ref="O760">_xlfn.IFS(AND(K760="Broker",J760="Resale"),F760*0.5,AND(K760="Owner",J760="Resale"),F760*0,AND(K760="Builder",J760="Resale"),F760*0.3,AND(J760="New",K760="Broker"),F760*0.1,AND(J760="New",K760="Owner"),F760*0,AND(J760="New",K760="Builder"),F760*0.5)</f>
        <v>3439023.5</v>
      </c>
    </row>
    <row r="761" spans="1:15" x14ac:dyDescent="0.3">
      <c r="A761" s="8" t="s">
        <v>817</v>
      </c>
      <c r="B761" s="4" t="s">
        <v>679</v>
      </c>
      <c r="C761" s="4" t="s">
        <v>684</v>
      </c>
      <c r="D761" s="4">
        <v>4</v>
      </c>
      <c r="E761" s="4">
        <v>1980</v>
      </c>
      <c r="F761" s="4">
        <v>19657988</v>
      </c>
      <c r="G761" s="4">
        <v>3</v>
      </c>
      <c r="H761" s="4">
        <v>1</v>
      </c>
      <c r="I761" s="4" t="s">
        <v>27</v>
      </c>
      <c r="J761" s="4" t="s">
        <v>19</v>
      </c>
      <c r="K761" s="4" t="s">
        <v>36</v>
      </c>
      <c r="L761" s="9">
        <v>45452</v>
      </c>
      <c r="M761" s="9" t="str">
        <f>TEXT(Source_data[[#This Row],[Listing_Date]],"mmm-yy")</f>
        <v>Jun-24</v>
      </c>
      <c r="N761" s="4">
        <f t="shared" si="11"/>
        <v>9928.2767676767671</v>
      </c>
      <c r="O761" s="3" cm="1">
        <f t="array" ref="O761">_xlfn.IFS(AND(K761="Broker",J761="Resale"),F761*0.5,AND(K761="Owner",J761="Resale"),F761*0,AND(K761="Builder",J761="Resale"),F761*0.3,AND(J761="New",K761="Broker"),F761*0.1,AND(J761="New",K761="Owner"),F761*0,AND(J761="New",K761="Builder"),F761*0.5)</f>
        <v>0</v>
      </c>
    </row>
    <row r="762" spans="1:15" x14ac:dyDescent="0.3">
      <c r="A762" s="8" t="s">
        <v>818</v>
      </c>
      <c r="B762" s="4" t="s">
        <v>679</v>
      </c>
      <c r="C762" s="4" t="s">
        <v>680</v>
      </c>
      <c r="D762" s="4">
        <v>1</v>
      </c>
      <c r="E762" s="4">
        <v>562</v>
      </c>
      <c r="F762" s="4">
        <v>6092174</v>
      </c>
      <c r="G762" s="4">
        <v>1</v>
      </c>
      <c r="H762" s="4">
        <v>2</v>
      </c>
      <c r="I762" s="4" t="s">
        <v>8</v>
      </c>
      <c r="J762" s="4" t="s">
        <v>19</v>
      </c>
      <c r="K762" s="4" t="s">
        <v>36</v>
      </c>
      <c r="L762" s="9">
        <v>44938</v>
      </c>
      <c r="M762" s="9" t="str">
        <f>TEXT(Source_data[[#This Row],[Listing_Date]],"mmm-yy")</f>
        <v>Jan-23</v>
      </c>
      <c r="N762" s="4">
        <f t="shared" si="11"/>
        <v>10840.167259786476</v>
      </c>
      <c r="O762" s="3" cm="1">
        <f t="array" ref="O762">_xlfn.IFS(AND(K762="Broker",J762="Resale"),F762*0.5,AND(K762="Owner",J762="Resale"),F762*0,AND(K762="Builder",J762="Resale"),F762*0.3,AND(J762="New",K762="Broker"),F762*0.1,AND(J762="New",K762="Owner"),F762*0,AND(J762="New",K762="Builder"),F762*0.5)</f>
        <v>0</v>
      </c>
    </row>
    <row r="763" spans="1:15" x14ac:dyDescent="0.3">
      <c r="A763" s="8" t="s">
        <v>819</v>
      </c>
      <c r="B763" s="4" t="s">
        <v>679</v>
      </c>
      <c r="C763" s="4" t="s">
        <v>682</v>
      </c>
      <c r="D763" s="4">
        <v>3</v>
      </c>
      <c r="E763" s="4">
        <v>898</v>
      </c>
      <c r="F763" s="4">
        <v>6412293</v>
      </c>
      <c r="G763" s="4">
        <v>4</v>
      </c>
      <c r="H763" s="4">
        <v>0</v>
      </c>
      <c r="I763" s="4" t="s">
        <v>8</v>
      </c>
      <c r="J763" s="4" t="s">
        <v>23</v>
      </c>
      <c r="K763" s="4" t="s">
        <v>24</v>
      </c>
      <c r="L763" s="9">
        <v>45235</v>
      </c>
      <c r="M763" s="9" t="str">
        <f>TEXT(Source_data[[#This Row],[Listing_Date]],"mmm-yy")</f>
        <v>Nov-23</v>
      </c>
      <c r="N763" s="4">
        <f t="shared" si="11"/>
        <v>7140.6380846325164</v>
      </c>
      <c r="O763" s="3" cm="1">
        <f t="array" ref="O763">_xlfn.IFS(AND(K763="Broker",J763="Resale"),F763*0.5,AND(K763="Owner",J763="Resale"),F763*0,AND(K763="Builder",J763="Resale"),F763*0.3,AND(J763="New",K763="Broker"),F763*0.1,AND(J763="New",K763="Owner"),F763*0,AND(J763="New",K763="Builder"),F763*0.5)</f>
        <v>1923687.9</v>
      </c>
    </row>
    <row r="764" spans="1:15" x14ac:dyDescent="0.3">
      <c r="A764" s="8" t="s">
        <v>820</v>
      </c>
      <c r="B764" s="4" t="s">
        <v>679</v>
      </c>
      <c r="C764" s="4" t="s">
        <v>680</v>
      </c>
      <c r="D764" s="4">
        <v>2</v>
      </c>
      <c r="E764" s="4">
        <v>856</v>
      </c>
      <c r="F764" s="4">
        <v>7522459</v>
      </c>
      <c r="G764" s="4">
        <v>1</v>
      </c>
      <c r="H764" s="4">
        <v>4</v>
      </c>
      <c r="I764" s="4" t="s">
        <v>18</v>
      </c>
      <c r="J764" s="4" t="s">
        <v>19</v>
      </c>
      <c r="K764" s="4" t="s">
        <v>36</v>
      </c>
      <c r="L764" s="9">
        <v>45017</v>
      </c>
      <c r="M764" s="9" t="str">
        <f>TEXT(Source_data[[#This Row],[Listing_Date]],"mmm-yy")</f>
        <v>Apr-23</v>
      </c>
      <c r="N764" s="4">
        <f t="shared" si="11"/>
        <v>8787.9193925233649</v>
      </c>
      <c r="O764" s="3" cm="1">
        <f t="array" ref="O764">_xlfn.IFS(AND(K764="Broker",J764="Resale"),F764*0.5,AND(K764="Owner",J764="Resale"),F764*0,AND(K764="Builder",J764="Resale"),F764*0.3,AND(J764="New",K764="Broker"),F764*0.1,AND(J764="New",K764="Owner"),F764*0,AND(J764="New",K764="Builder"),F764*0.5)</f>
        <v>0</v>
      </c>
    </row>
    <row r="765" spans="1:15" x14ac:dyDescent="0.3">
      <c r="A765" s="8" t="s">
        <v>821</v>
      </c>
      <c r="B765" s="4" t="s">
        <v>679</v>
      </c>
      <c r="C765" s="4" t="s">
        <v>684</v>
      </c>
      <c r="D765" s="4">
        <v>3</v>
      </c>
      <c r="E765" s="4">
        <v>856</v>
      </c>
      <c r="F765" s="4">
        <v>8063080</v>
      </c>
      <c r="G765" s="4">
        <v>3</v>
      </c>
      <c r="H765" s="4">
        <v>1</v>
      </c>
      <c r="I765" s="4" t="s">
        <v>8</v>
      </c>
      <c r="J765" s="4" t="s">
        <v>23</v>
      </c>
      <c r="K765" s="4" t="s">
        <v>24</v>
      </c>
      <c r="L765" s="9">
        <v>45453</v>
      </c>
      <c r="M765" s="9" t="str">
        <f>TEXT(Source_data[[#This Row],[Listing_Date]],"mmm-yy")</f>
        <v>Jun-24</v>
      </c>
      <c r="N765" s="4">
        <f t="shared" si="11"/>
        <v>9419.4859813084113</v>
      </c>
      <c r="O765" s="3" cm="1">
        <f t="array" ref="O765">_xlfn.IFS(AND(K765="Broker",J765="Resale"),F765*0.5,AND(K765="Owner",J765="Resale"),F765*0,AND(K765="Builder",J765="Resale"),F765*0.3,AND(J765="New",K765="Broker"),F765*0.1,AND(J765="New",K765="Owner"),F765*0,AND(J765="New",K765="Builder"),F765*0.5)</f>
        <v>2418924</v>
      </c>
    </row>
    <row r="766" spans="1:15" x14ac:dyDescent="0.3">
      <c r="A766" s="8" t="s">
        <v>822</v>
      </c>
      <c r="B766" s="4" t="s">
        <v>679</v>
      </c>
      <c r="C766" s="4" t="s">
        <v>684</v>
      </c>
      <c r="D766" s="4">
        <v>3</v>
      </c>
      <c r="E766" s="4">
        <v>991</v>
      </c>
      <c r="F766" s="4">
        <v>8866069</v>
      </c>
      <c r="G766" s="4">
        <v>3</v>
      </c>
      <c r="H766" s="4">
        <v>1</v>
      </c>
      <c r="I766" s="4" t="s">
        <v>18</v>
      </c>
      <c r="J766" s="4" t="s">
        <v>23</v>
      </c>
      <c r="K766" s="4" t="s">
        <v>20</v>
      </c>
      <c r="L766" s="9">
        <v>45057</v>
      </c>
      <c r="M766" s="9" t="str">
        <f>TEXT(Source_data[[#This Row],[Listing_Date]],"mmm-yy")</f>
        <v>May-23</v>
      </c>
      <c r="N766" s="4">
        <f t="shared" si="11"/>
        <v>8946.5882946518668</v>
      </c>
      <c r="O766" s="3" cm="1">
        <f t="array" ref="O766">_xlfn.IFS(AND(K766="Broker",J766="Resale"),F766*0.5,AND(K766="Owner",J766="Resale"),F766*0,AND(K766="Builder",J766="Resale"),F766*0.3,AND(J766="New",K766="Broker"),F766*0.1,AND(J766="New",K766="Owner"),F766*0,AND(J766="New",K766="Builder"),F766*0.5)</f>
        <v>4433034.5</v>
      </c>
    </row>
    <row r="767" spans="1:15" x14ac:dyDescent="0.3">
      <c r="A767" s="8" t="s">
        <v>823</v>
      </c>
      <c r="B767" s="4" t="s">
        <v>679</v>
      </c>
      <c r="C767" s="4" t="s">
        <v>680</v>
      </c>
      <c r="D767" s="4">
        <v>3</v>
      </c>
      <c r="E767" s="4">
        <v>1832</v>
      </c>
      <c r="F767" s="4">
        <v>15693997</v>
      </c>
      <c r="G767" s="4">
        <v>4</v>
      </c>
      <c r="H767" s="4">
        <v>2</v>
      </c>
      <c r="I767" s="4" t="s">
        <v>8</v>
      </c>
      <c r="J767" s="4" t="s">
        <v>23</v>
      </c>
      <c r="K767" s="4" t="s">
        <v>20</v>
      </c>
      <c r="L767" s="9">
        <v>45631</v>
      </c>
      <c r="M767" s="9" t="str">
        <f>TEXT(Source_data[[#This Row],[Listing_Date]],"mmm-yy")</f>
        <v>Dec-24</v>
      </c>
      <c r="N767" s="4">
        <f t="shared" si="11"/>
        <v>8566.5922489082968</v>
      </c>
      <c r="O767" s="3" cm="1">
        <f t="array" ref="O767">_xlfn.IFS(AND(K767="Broker",J767="Resale"),F767*0.5,AND(K767="Owner",J767="Resale"),F767*0,AND(K767="Builder",J767="Resale"),F767*0.3,AND(J767="New",K767="Broker"),F767*0.1,AND(J767="New",K767="Owner"),F767*0,AND(J767="New",K767="Builder"),F767*0.5)</f>
        <v>7846998.5</v>
      </c>
    </row>
    <row r="768" spans="1:15" x14ac:dyDescent="0.3">
      <c r="A768" s="8" t="s">
        <v>824</v>
      </c>
      <c r="B768" s="4" t="s">
        <v>679</v>
      </c>
      <c r="C768" s="4" t="s">
        <v>684</v>
      </c>
      <c r="D768" s="4">
        <v>3</v>
      </c>
      <c r="E768" s="4">
        <v>937</v>
      </c>
      <c r="F768" s="4">
        <v>7275368</v>
      </c>
      <c r="G768" s="4">
        <v>2</v>
      </c>
      <c r="H768" s="4">
        <v>2</v>
      </c>
      <c r="I768" s="4" t="s">
        <v>8</v>
      </c>
      <c r="J768" s="4" t="s">
        <v>23</v>
      </c>
      <c r="K768" s="4" t="s">
        <v>24</v>
      </c>
      <c r="L768" s="9">
        <v>45087</v>
      </c>
      <c r="M768" s="9" t="str">
        <f>TEXT(Source_data[[#This Row],[Listing_Date]],"mmm-yy")</f>
        <v>Jun-23</v>
      </c>
      <c r="N768" s="4">
        <f t="shared" si="11"/>
        <v>7764.5336179295628</v>
      </c>
      <c r="O768" s="3" cm="1">
        <f t="array" ref="O768">_xlfn.IFS(AND(K768="Broker",J768="Resale"),F768*0.5,AND(K768="Owner",J768="Resale"),F768*0,AND(K768="Builder",J768="Resale"),F768*0.3,AND(J768="New",K768="Broker"),F768*0.1,AND(J768="New",K768="Owner"),F768*0,AND(J768="New",K768="Builder"),F768*0.5)</f>
        <v>2182610.4</v>
      </c>
    </row>
    <row r="769" spans="1:15" x14ac:dyDescent="0.3">
      <c r="A769" s="8" t="s">
        <v>825</v>
      </c>
      <c r="B769" s="4" t="s">
        <v>679</v>
      </c>
      <c r="C769" s="4" t="s">
        <v>698</v>
      </c>
      <c r="D769" s="4">
        <v>5</v>
      </c>
      <c r="E769" s="4">
        <v>2743</v>
      </c>
      <c r="F769" s="4">
        <v>20733271</v>
      </c>
      <c r="G769" s="4">
        <v>3</v>
      </c>
      <c r="H769" s="4">
        <v>1</v>
      </c>
      <c r="I769" s="4" t="s">
        <v>18</v>
      </c>
      <c r="J769" s="4" t="s">
        <v>19</v>
      </c>
      <c r="K769" s="4" t="s">
        <v>24</v>
      </c>
      <c r="L769" s="9">
        <v>45540</v>
      </c>
      <c r="M769" s="9" t="str">
        <f>TEXT(Source_data[[#This Row],[Listing_Date]],"mmm-yy")</f>
        <v>Sep-24</v>
      </c>
      <c r="N769" s="4">
        <f t="shared" si="11"/>
        <v>7558.6113744075828</v>
      </c>
      <c r="O769" s="3" cm="1">
        <f t="array" ref="O769">_xlfn.IFS(AND(K769="Broker",J769="Resale"),F769*0.5,AND(K769="Owner",J769="Resale"),F769*0,AND(K769="Builder",J769="Resale"),F769*0.3,AND(J769="New",K769="Broker"),F769*0.1,AND(J769="New",K769="Owner"),F769*0,AND(J769="New",K769="Builder"),F769*0.5)</f>
        <v>10366635.5</v>
      </c>
    </row>
    <row r="770" spans="1:15" x14ac:dyDescent="0.3">
      <c r="A770" s="8" t="s">
        <v>826</v>
      </c>
      <c r="B770" s="4" t="s">
        <v>679</v>
      </c>
      <c r="C770" s="4" t="s">
        <v>680</v>
      </c>
      <c r="D770" s="4">
        <v>2</v>
      </c>
      <c r="E770" s="4">
        <v>1011</v>
      </c>
      <c r="F770" s="4">
        <v>7819074</v>
      </c>
      <c r="G770" s="4">
        <v>2</v>
      </c>
      <c r="H770" s="4">
        <v>4</v>
      </c>
      <c r="I770" s="4" t="s">
        <v>8</v>
      </c>
      <c r="J770" s="4" t="s">
        <v>23</v>
      </c>
      <c r="K770" s="4" t="s">
        <v>36</v>
      </c>
      <c r="L770" s="9">
        <v>45668</v>
      </c>
      <c r="M770" s="9" t="str">
        <f>TEXT(Source_data[[#This Row],[Listing_Date]],"mmm-yy")</f>
        <v>Jan-25</v>
      </c>
      <c r="N770" s="4">
        <f t="shared" si="11"/>
        <v>7734</v>
      </c>
      <c r="O770" s="3" cm="1">
        <f t="array" ref="O770">_xlfn.IFS(AND(K770="Broker",J770="Resale"),F770*0.5,AND(K770="Owner",J770="Resale"),F770*0,AND(K770="Builder",J770="Resale"),F770*0.3,AND(J770="New",K770="Broker"),F770*0.1,AND(J770="New",K770="Owner"),F770*0,AND(J770="New",K770="Builder"),F770*0.5)</f>
        <v>0</v>
      </c>
    </row>
    <row r="771" spans="1:15" x14ac:dyDescent="0.3">
      <c r="A771" s="8" t="s">
        <v>827</v>
      </c>
      <c r="B771" s="4" t="s">
        <v>679</v>
      </c>
      <c r="C771" s="4" t="s">
        <v>691</v>
      </c>
      <c r="D771" s="4">
        <v>2</v>
      </c>
      <c r="E771" s="4">
        <v>1191</v>
      </c>
      <c r="F771" s="4">
        <v>11773433</v>
      </c>
      <c r="G771" s="4">
        <v>2</v>
      </c>
      <c r="H771" s="4">
        <v>0</v>
      </c>
      <c r="I771" s="4" t="s">
        <v>8</v>
      </c>
      <c r="J771" s="4" t="s">
        <v>23</v>
      </c>
      <c r="K771" s="4" t="s">
        <v>24</v>
      </c>
      <c r="L771" s="9">
        <v>45167</v>
      </c>
      <c r="M771" s="9" t="str">
        <f>TEXT(Source_data[[#This Row],[Listing_Date]],"mmm-yy")</f>
        <v>Aug-23</v>
      </c>
      <c r="N771" s="4">
        <f t="shared" ref="N771:N834" si="12">F771/E771</f>
        <v>9885.334172963896</v>
      </c>
      <c r="O771" s="3" cm="1">
        <f t="array" ref="O771">_xlfn.IFS(AND(K771="Broker",J771="Resale"),F771*0.5,AND(K771="Owner",J771="Resale"),F771*0,AND(K771="Builder",J771="Resale"),F771*0.3,AND(J771="New",K771="Broker"),F771*0.1,AND(J771="New",K771="Owner"),F771*0,AND(J771="New",K771="Builder"),F771*0.5)</f>
        <v>3532029.9</v>
      </c>
    </row>
    <row r="772" spans="1:15" x14ac:dyDescent="0.3">
      <c r="A772" s="8" t="s">
        <v>828</v>
      </c>
      <c r="B772" s="4" t="s">
        <v>679</v>
      </c>
      <c r="C772" s="4" t="s">
        <v>691</v>
      </c>
      <c r="D772" s="4">
        <v>2</v>
      </c>
      <c r="E772" s="4">
        <v>722</v>
      </c>
      <c r="F772" s="4">
        <v>6405946</v>
      </c>
      <c r="G772" s="4">
        <v>1</v>
      </c>
      <c r="H772" s="4">
        <v>2</v>
      </c>
      <c r="I772" s="4" t="s">
        <v>27</v>
      </c>
      <c r="J772" s="4" t="s">
        <v>23</v>
      </c>
      <c r="K772" s="4" t="s">
        <v>24</v>
      </c>
      <c r="L772" s="9">
        <v>45001</v>
      </c>
      <c r="M772" s="9" t="str">
        <f>TEXT(Source_data[[#This Row],[Listing_Date]],"mmm-yy")</f>
        <v>Mar-23</v>
      </c>
      <c r="N772" s="4">
        <f t="shared" si="12"/>
        <v>8872.5013850415507</v>
      </c>
      <c r="O772" s="3" cm="1">
        <f t="array" ref="O772">_xlfn.IFS(AND(K772="Broker",J772="Resale"),F772*0.5,AND(K772="Owner",J772="Resale"),F772*0,AND(K772="Builder",J772="Resale"),F772*0.3,AND(J772="New",K772="Broker"),F772*0.1,AND(J772="New",K772="Owner"),F772*0,AND(J772="New",K772="Builder"),F772*0.5)</f>
        <v>1921783.7999999998</v>
      </c>
    </row>
    <row r="773" spans="1:15" x14ac:dyDescent="0.3">
      <c r="A773" s="8" t="s">
        <v>829</v>
      </c>
      <c r="B773" s="4" t="s">
        <v>679</v>
      </c>
      <c r="C773" s="4" t="s">
        <v>680</v>
      </c>
      <c r="D773" s="4">
        <v>4</v>
      </c>
      <c r="E773" s="4">
        <v>1858</v>
      </c>
      <c r="F773" s="4">
        <v>11993056</v>
      </c>
      <c r="G773" s="4">
        <v>3</v>
      </c>
      <c r="H773" s="4">
        <v>0</v>
      </c>
      <c r="I773" s="4" t="s">
        <v>27</v>
      </c>
      <c r="J773" s="4" t="s">
        <v>23</v>
      </c>
      <c r="K773" s="4" t="s">
        <v>36</v>
      </c>
      <c r="L773" s="9">
        <v>45014</v>
      </c>
      <c r="M773" s="9" t="str">
        <f>TEXT(Source_data[[#This Row],[Listing_Date]],"mmm-yy")</f>
        <v>Mar-23</v>
      </c>
      <c r="N773" s="4">
        <f t="shared" si="12"/>
        <v>6454.8202368137781</v>
      </c>
      <c r="O773" s="3" cm="1">
        <f t="array" ref="O773">_xlfn.IFS(AND(K773="Broker",J773="Resale"),F773*0.5,AND(K773="Owner",J773="Resale"),F773*0,AND(K773="Builder",J773="Resale"),F773*0.3,AND(J773="New",K773="Broker"),F773*0.1,AND(J773="New",K773="Owner"),F773*0,AND(J773="New",K773="Builder"),F773*0.5)</f>
        <v>0</v>
      </c>
    </row>
    <row r="774" spans="1:15" x14ac:dyDescent="0.3">
      <c r="A774" s="8" t="s">
        <v>830</v>
      </c>
      <c r="B774" s="4" t="s">
        <v>679</v>
      </c>
      <c r="C774" s="4" t="s">
        <v>684</v>
      </c>
      <c r="D774" s="4">
        <v>3</v>
      </c>
      <c r="E774" s="4">
        <v>1836</v>
      </c>
      <c r="F774" s="4">
        <v>10803538</v>
      </c>
      <c r="G774" s="4">
        <v>3</v>
      </c>
      <c r="H774" s="4">
        <v>3</v>
      </c>
      <c r="I774" s="4" t="s">
        <v>27</v>
      </c>
      <c r="J774" s="4" t="s">
        <v>19</v>
      </c>
      <c r="K774" s="4" t="s">
        <v>24</v>
      </c>
      <c r="L774" s="9">
        <v>45129</v>
      </c>
      <c r="M774" s="9" t="str">
        <f>TEXT(Source_data[[#This Row],[Listing_Date]],"mmm-yy")</f>
        <v>Jul-23</v>
      </c>
      <c r="N774" s="4">
        <f t="shared" si="12"/>
        <v>5884.2799564270153</v>
      </c>
      <c r="O774" s="3" cm="1">
        <f t="array" ref="O774">_xlfn.IFS(AND(K774="Broker",J774="Resale"),F774*0.5,AND(K774="Owner",J774="Resale"),F774*0,AND(K774="Builder",J774="Resale"),F774*0.3,AND(J774="New",K774="Broker"),F774*0.1,AND(J774="New",K774="Owner"),F774*0,AND(J774="New",K774="Builder"),F774*0.5)</f>
        <v>5401769</v>
      </c>
    </row>
    <row r="775" spans="1:15" x14ac:dyDescent="0.3">
      <c r="A775" s="8" t="s">
        <v>831</v>
      </c>
      <c r="B775" s="4" t="s">
        <v>679</v>
      </c>
      <c r="C775" s="4" t="s">
        <v>698</v>
      </c>
      <c r="D775" s="4">
        <v>2</v>
      </c>
      <c r="E775" s="4">
        <v>884</v>
      </c>
      <c r="F775" s="4">
        <v>7477872</v>
      </c>
      <c r="G775" s="4">
        <v>3</v>
      </c>
      <c r="H775" s="4">
        <v>3</v>
      </c>
      <c r="I775" s="4" t="s">
        <v>18</v>
      </c>
      <c r="J775" s="4" t="s">
        <v>23</v>
      </c>
      <c r="K775" s="4" t="s">
        <v>20</v>
      </c>
      <c r="L775" s="9">
        <v>45560</v>
      </c>
      <c r="M775" s="9" t="str">
        <f>TEXT(Source_data[[#This Row],[Listing_Date]],"mmm-yy")</f>
        <v>Sep-24</v>
      </c>
      <c r="N775" s="4">
        <f t="shared" si="12"/>
        <v>8459.1312217194572</v>
      </c>
      <c r="O775" s="3" cm="1">
        <f t="array" ref="O775">_xlfn.IFS(AND(K775="Broker",J775="Resale"),F775*0.5,AND(K775="Owner",J775="Resale"),F775*0,AND(K775="Builder",J775="Resale"),F775*0.3,AND(J775="New",K775="Broker"),F775*0.1,AND(J775="New",K775="Owner"),F775*0,AND(J775="New",K775="Builder"),F775*0.5)</f>
        <v>3738936</v>
      </c>
    </row>
    <row r="776" spans="1:15" x14ac:dyDescent="0.3">
      <c r="A776" s="8" t="s">
        <v>832</v>
      </c>
      <c r="B776" s="4" t="s">
        <v>679</v>
      </c>
      <c r="C776" s="4" t="s">
        <v>682</v>
      </c>
      <c r="D776" s="4">
        <v>2</v>
      </c>
      <c r="E776" s="4">
        <v>578</v>
      </c>
      <c r="F776" s="4">
        <v>4373245</v>
      </c>
      <c r="G776" s="4">
        <v>2</v>
      </c>
      <c r="H776" s="4">
        <v>1</v>
      </c>
      <c r="I776" s="4" t="s">
        <v>8</v>
      </c>
      <c r="J776" s="4" t="s">
        <v>23</v>
      </c>
      <c r="K776" s="4" t="s">
        <v>24</v>
      </c>
      <c r="L776" s="9">
        <v>45494</v>
      </c>
      <c r="M776" s="9" t="str">
        <f>TEXT(Source_data[[#This Row],[Listing_Date]],"mmm-yy")</f>
        <v>Jul-24</v>
      </c>
      <c r="N776" s="4">
        <f t="shared" si="12"/>
        <v>7566.167820069204</v>
      </c>
      <c r="O776" s="3" cm="1">
        <f t="array" ref="O776">_xlfn.IFS(AND(K776="Broker",J776="Resale"),F776*0.5,AND(K776="Owner",J776="Resale"),F776*0,AND(K776="Builder",J776="Resale"),F776*0.3,AND(J776="New",K776="Broker"),F776*0.1,AND(J776="New",K776="Owner"),F776*0,AND(J776="New",K776="Builder"),F776*0.5)</f>
        <v>1311973.5</v>
      </c>
    </row>
    <row r="777" spans="1:15" x14ac:dyDescent="0.3">
      <c r="A777" s="8" t="s">
        <v>833</v>
      </c>
      <c r="B777" s="4" t="s">
        <v>679</v>
      </c>
      <c r="C777" s="4" t="s">
        <v>686</v>
      </c>
      <c r="D777" s="4">
        <v>3</v>
      </c>
      <c r="E777" s="4">
        <v>2229</v>
      </c>
      <c r="F777" s="4">
        <v>20379375</v>
      </c>
      <c r="G777" s="4">
        <v>4</v>
      </c>
      <c r="H777" s="4">
        <v>4</v>
      </c>
      <c r="I777" s="4" t="s">
        <v>18</v>
      </c>
      <c r="J777" s="4" t="s">
        <v>23</v>
      </c>
      <c r="K777" s="4" t="s">
        <v>20</v>
      </c>
      <c r="L777" s="9">
        <v>45702</v>
      </c>
      <c r="M777" s="9" t="str">
        <f>TEXT(Source_data[[#This Row],[Listing_Date]],"mmm-yy")</f>
        <v>Feb-25</v>
      </c>
      <c r="N777" s="4">
        <f t="shared" si="12"/>
        <v>9142.8331090174961</v>
      </c>
      <c r="O777" s="3" cm="1">
        <f t="array" ref="O777">_xlfn.IFS(AND(K777="Broker",J777="Resale"),F777*0.5,AND(K777="Owner",J777="Resale"),F777*0,AND(K777="Builder",J777="Resale"),F777*0.3,AND(J777="New",K777="Broker"),F777*0.1,AND(J777="New",K777="Owner"),F777*0,AND(J777="New",K777="Builder"),F777*0.5)</f>
        <v>10189687.5</v>
      </c>
    </row>
    <row r="778" spans="1:15" x14ac:dyDescent="0.3">
      <c r="A778" s="8" t="s">
        <v>834</v>
      </c>
      <c r="B778" s="4" t="s">
        <v>679</v>
      </c>
      <c r="C778" s="4" t="s">
        <v>691</v>
      </c>
      <c r="D778" s="4">
        <v>3</v>
      </c>
      <c r="E778" s="4">
        <v>1546</v>
      </c>
      <c r="F778" s="4">
        <v>16229861</v>
      </c>
      <c r="G778" s="4">
        <v>2</v>
      </c>
      <c r="H778" s="4">
        <v>1</v>
      </c>
      <c r="I778" s="4" t="s">
        <v>27</v>
      </c>
      <c r="J778" s="4" t="s">
        <v>23</v>
      </c>
      <c r="K778" s="4" t="s">
        <v>24</v>
      </c>
      <c r="L778" s="9">
        <v>45303</v>
      </c>
      <c r="M778" s="9" t="str">
        <f>TEXT(Source_data[[#This Row],[Listing_Date]],"mmm-yy")</f>
        <v>Jan-24</v>
      </c>
      <c r="N778" s="4">
        <f t="shared" si="12"/>
        <v>10497.969598965072</v>
      </c>
      <c r="O778" s="3" cm="1">
        <f t="array" ref="O778">_xlfn.IFS(AND(K778="Broker",J778="Resale"),F778*0.5,AND(K778="Owner",J778="Resale"),F778*0,AND(K778="Builder",J778="Resale"),F778*0.3,AND(J778="New",K778="Broker"),F778*0.1,AND(J778="New",K778="Owner"),F778*0,AND(J778="New",K778="Builder"),F778*0.5)</f>
        <v>4868958.3</v>
      </c>
    </row>
    <row r="779" spans="1:15" x14ac:dyDescent="0.3">
      <c r="A779" s="8" t="s">
        <v>835</v>
      </c>
      <c r="B779" s="4" t="s">
        <v>679</v>
      </c>
      <c r="C779" s="4" t="s">
        <v>680</v>
      </c>
      <c r="D779" s="4">
        <v>2</v>
      </c>
      <c r="E779" s="4">
        <v>899</v>
      </c>
      <c r="F779" s="4">
        <v>5226066</v>
      </c>
      <c r="G779" s="4">
        <v>2</v>
      </c>
      <c r="H779" s="4">
        <v>2</v>
      </c>
      <c r="I779" s="4" t="s">
        <v>18</v>
      </c>
      <c r="J779" s="4" t="s">
        <v>23</v>
      </c>
      <c r="K779" s="4" t="s">
        <v>24</v>
      </c>
      <c r="L779" s="9">
        <v>45636</v>
      </c>
      <c r="M779" s="9" t="str">
        <f>TEXT(Source_data[[#This Row],[Listing_Date]],"mmm-yy")</f>
        <v>Dec-24</v>
      </c>
      <c r="N779" s="4">
        <f t="shared" si="12"/>
        <v>5813.1991101223584</v>
      </c>
      <c r="O779" s="3" cm="1">
        <f t="array" ref="O779">_xlfn.IFS(AND(K779="Broker",J779="Resale"),F779*0.5,AND(K779="Owner",J779="Resale"),F779*0,AND(K779="Builder",J779="Resale"),F779*0.3,AND(J779="New",K779="Broker"),F779*0.1,AND(J779="New",K779="Owner"),F779*0,AND(J779="New",K779="Builder"),F779*0.5)</f>
        <v>1567819.8</v>
      </c>
    </row>
    <row r="780" spans="1:15" x14ac:dyDescent="0.3">
      <c r="A780" s="8" t="s">
        <v>836</v>
      </c>
      <c r="B780" s="4" t="s">
        <v>679</v>
      </c>
      <c r="C780" s="4" t="s">
        <v>680</v>
      </c>
      <c r="D780" s="4">
        <v>2</v>
      </c>
      <c r="E780" s="4">
        <v>1283</v>
      </c>
      <c r="F780" s="4">
        <v>10531629</v>
      </c>
      <c r="G780" s="4">
        <v>2</v>
      </c>
      <c r="H780" s="4">
        <v>0</v>
      </c>
      <c r="I780" s="4" t="s">
        <v>8</v>
      </c>
      <c r="J780" s="4" t="s">
        <v>23</v>
      </c>
      <c r="K780" s="4" t="s">
        <v>24</v>
      </c>
      <c r="L780" s="9">
        <v>45709</v>
      </c>
      <c r="M780" s="9" t="str">
        <f>TEXT(Source_data[[#This Row],[Listing_Date]],"mmm-yy")</f>
        <v>Feb-25</v>
      </c>
      <c r="N780" s="4">
        <f t="shared" si="12"/>
        <v>8208.5962587685117</v>
      </c>
      <c r="O780" s="3" cm="1">
        <f t="array" ref="O780">_xlfn.IFS(AND(K780="Broker",J780="Resale"),F780*0.5,AND(K780="Owner",J780="Resale"),F780*0,AND(K780="Builder",J780="Resale"),F780*0.3,AND(J780="New",K780="Broker"),F780*0.1,AND(J780="New",K780="Owner"),F780*0,AND(J780="New",K780="Builder"),F780*0.5)</f>
        <v>3159488.6999999997</v>
      </c>
    </row>
    <row r="781" spans="1:15" x14ac:dyDescent="0.3">
      <c r="A781" s="8" t="s">
        <v>837</v>
      </c>
      <c r="B781" s="4" t="s">
        <v>679</v>
      </c>
      <c r="C781" s="4" t="s">
        <v>684</v>
      </c>
      <c r="D781" s="4">
        <v>1</v>
      </c>
      <c r="E781" s="4">
        <v>641</v>
      </c>
      <c r="F781" s="4">
        <v>5108993</v>
      </c>
      <c r="G781" s="4">
        <v>1</v>
      </c>
      <c r="H781" s="4">
        <v>1</v>
      </c>
      <c r="I781" s="4" t="s">
        <v>67</v>
      </c>
      <c r="J781" s="4" t="s">
        <v>19</v>
      </c>
      <c r="K781" s="4" t="s">
        <v>20</v>
      </c>
      <c r="L781" s="9">
        <v>45375</v>
      </c>
      <c r="M781" s="9" t="str">
        <f>TEXT(Source_data[[#This Row],[Listing_Date]],"mmm-yy")</f>
        <v>Mar-24</v>
      </c>
      <c r="N781" s="4">
        <f t="shared" si="12"/>
        <v>7970.3478939157567</v>
      </c>
      <c r="O781" s="3" cm="1">
        <f t="array" ref="O781">_xlfn.IFS(AND(K781="Broker",J781="Resale"),F781*0.5,AND(K781="Owner",J781="Resale"),F781*0,AND(K781="Builder",J781="Resale"),F781*0.3,AND(J781="New",K781="Broker"),F781*0.1,AND(J781="New",K781="Owner"),F781*0,AND(J781="New",K781="Builder"),F781*0.5)</f>
        <v>510899.30000000005</v>
      </c>
    </row>
    <row r="782" spans="1:15" x14ac:dyDescent="0.3">
      <c r="A782" s="8" t="s">
        <v>838</v>
      </c>
      <c r="B782" s="4" t="s">
        <v>679</v>
      </c>
      <c r="C782" s="4" t="s">
        <v>680</v>
      </c>
      <c r="D782" s="4">
        <v>3</v>
      </c>
      <c r="E782" s="4">
        <v>1099</v>
      </c>
      <c r="F782" s="4">
        <v>8414168</v>
      </c>
      <c r="G782" s="4">
        <v>3</v>
      </c>
      <c r="H782" s="4">
        <v>3</v>
      </c>
      <c r="I782" s="4" t="s">
        <v>8</v>
      </c>
      <c r="J782" s="4" t="s">
        <v>19</v>
      </c>
      <c r="K782" s="4" t="s">
        <v>24</v>
      </c>
      <c r="L782" s="9">
        <v>45821</v>
      </c>
      <c r="M782" s="9" t="str">
        <f>TEXT(Source_data[[#This Row],[Listing_Date]],"mmm-yy")</f>
        <v>Jun-25</v>
      </c>
      <c r="N782" s="4">
        <f t="shared" si="12"/>
        <v>7656.2038216560513</v>
      </c>
      <c r="O782" s="3" cm="1">
        <f t="array" ref="O782">_xlfn.IFS(AND(K782="Broker",J782="Resale"),F782*0.5,AND(K782="Owner",J782="Resale"),F782*0,AND(K782="Builder",J782="Resale"),F782*0.3,AND(J782="New",K782="Broker"),F782*0.1,AND(J782="New",K782="Owner"),F782*0,AND(J782="New",K782="Builder"),F782*0.5)</f>
        <v>4207084</v>
      </c>
    </row>
    <row r="783" spans="1:15" x14ac:dyDescent="0.3">
      <c r="A783" s="8" t="s">
        <v>839</v>
      </c>
      <c r="B783" s="4" t="s">
        <v>679</v>
      </c>
      <c r="C783" s="4" t="s">
        <v>682</v>
      </c>
      <c r="D783" s="4">
        <v>2</v>
      </c>
      <c r="E783" s="4">
        <v>1217</v>
      </c>
      <c r="F783" s="4">
        <v>10736283</v>
      </c>
      <c r="G783" s="4">
        <v>2</v>
      </c>
      <c r="H783" s="4">
        <v>2</v>
      </c>
      <c r="I783" s="4" t="s">
        <v>8</v>
      </c>
      <c r="J783" s="4" t="s">
        <v>23</v>
      </c>
      <c r="K783" s="4" t="s">
        <v>20</v>
      </c>
      <c r="L783" s="9">
        <v>45386</v>
      </c>
      <c r="M783" s="9" t="str">
        <f>TEXT(Source_data[[#This Row],[Listing_Date]],"mmm-yy")</f>
        <v>Apr-24</v>
      </c>
      <c r="N783" s="4">
        <f t="shared" si="12"/>
        <v>8821.9252259654895</v>
      </c>
      <c r="O783" s="3" cm="1">
        <f t="array" ref="O783">_xlfn.IFS(AND(K783="Broker",J783="Resale"),F783*0.5,AND(K783="Owner",J783="Resale"),F783*0,AND(K783="Builder",J783="Resale"),F783*0.3,AND(J783="New",K783="Broker"),F783*0.1,AND(J783="New",K783="Owner"),F783*0,AND(J783="New",K783="Builder"),F783*0.5)</f>
        <v>5368141.5</v>
      </c>
    </row>
    <row r="784" spans="1:15" x14ac:dyDescent="0.3">
      <c r="A784" s="8" t="s">
        <v>840</v>
      </c>
      <c r="B784" s="4" t="s">
        <v>679</v>
      </c>
      <c r="C784" s="4" t="s">
        <v>682</v>
      </c>
      <c r="D784" s="4">
        <v>2</v>
      </c>
      <c r="E784" s="4">
        <v>1195</v>
      </c>
      <c r="F784" s="4">
        <v>12180125</v>
      </c>
      <c r="G784" s="4">
        <v>2</v>
      </c>
      <c r="H784" s="4">
        <v>2</v>
      </c>
      <c r="I784" s="4" t="s">
        <v>8</v>
      </c>
      <c r="J784" s="4" t="s">
        <v>19</v>
      </c>
      <c r="K784" s="4" t="s">
        <v>20</v>
      </c>
      <c r="L784" s="9">
        <v>45377</v>
      </c>
      <c r="M784" s="9" t="str">
        <f>TEXT(Source_data[[#This Row],[Listing_Date]],"mmm-yy")</f>
        <v>Mar-24</v>
      </c>
      <c r="N784" s="4">
        <f t="shared" si="12"/>
        <v>10192.573221757322</v>
      </c>
      <c r="O784" s="3" cm="1">
        <f t="array" ref="O784">_xlfn.IFS(AND(K784="Broker",J784="Resale"),F784*0.5,AND(K784="Owner",J784="Resale"),F784*0,AND(K784="Builder",J784="Resale"),F784*0.3,AND(J784="New",K784="Broker"),F784*0.1,AND(J784="New",K784="Owner"),F784*0,AND(J784="New",K784="Builder"),F784*0.5)</f>
        <v>1218012.5</v>
      </c>
    </row>
    <row r="785" spans="1:15" x14ac:dyDescent="0.3">
      <c r="A785" s="8" t="s">
        <v>841</v>
      </c>
      <c r="B785" s="4" t="s">
        <v>842</v>
      </c>
      <c r="C785" s="4" t="s">
        <v>843</v>
      </c>
      <c r="D785" s="4">
        <v>2</v>
      </c>
      <c r="E785" s="4">
        <v>865</v>
      </c>
      <c r="F785" s="4">
        <v>5610290</v>
      </c>
      <c r="G785" s="4">
        <v>1</v>
      </c>
      <c r="H785" s="4">
        <v>1</v>
      </c>
      <c r="I785" s="4" t="s">
        <v>27</v>
      </c>
      <c r="J785" s="4" t="s">
        <v>19</v>
      </c>
      <c r="K785" s="4" t="s">
        <v>24</v>
      </c>
      <c r="L785" s="9">
        <v>45616</v>
      </c>
      <c r="M785" s="9" t="str">
        <f>TEXT(Source_data[[#This Row],[Listing_Date]],"mmm-yy")</f>
        <v>Nov-24</v>
      </c>
      <c r="N785" s="4">
        <f t="shared" si="12"/>
        <v>6485.884393063584</v>
      </c>
      <c r="O785" s="3" cm="1">
        <f t="array" ref="O785">_xlfn.IFS(AND(K785="Broker",J785="Resale"),F785*0.5,AND(K785="Owner",J785="Resale"),F785*0,AND(K785="Builder",J785="Resale"),F785*0.3,AND(J785="New",K785="Broker"),F785*0.1,AND(J785="New",K785="Owner"),F785*0,AND(J785="New",K785="Builder"),F785*0.5)</f>
        <v>2805145</v>
      </c>
    </row>
    <row r="786" spans="1:15" x14ac:dyDescent="0.3">
      <c r="A786" s="8" t="s">
        <v>844</v>
      </c>
      <c r="B786" s="4" t="s">
        <v>842</v>
      </c>
      <c r="C786" s="4" t="s">
        <v>845</v>
      </c>
      <c r="D786" s="4">
        <v>2</v>
      </c>
      <c r="E786" s="4">
        <v>1116</v>
      </c>
      <c r="F786" s="4">
        <v>3822469</v>
      </c>
      <c r="G786" s="4">
        <v>3</v>
      </c>
      <c r="H786" s="4">
        <v>2</v>
      </c>
      <c r="I786" s="4" t="s">
        <v>27</v>
      </c>
      <c r="J786" s="4" t="s">
        <v>23</v>
      </c>
      <c r="K786" s="4" t="s">
        <v>24</v>
      </c>
      <c r="L786" s="9">
        <v>44994</v>
      </c>
      <c r="M786" s="9" t="str">
        <f>TEXT(Source_data[[#This Row],[Listing_Date]],"mmm-yy")</f>
        <v>Mar-23</v>
      </c>
      <c r="N786" s="4">
        <f t="shared" si="12"/>
        <v>3425.1514336917562</v>
      </c>
      <c r="O786" s="3" cm="1">
        <f t="array" ref="O786">_xlfn.IFS(AND(K786="Broker",J786="Resale"),F786*0.5,AND(K786="Owner",J786="Resale"),F786*0,AND(K786="Builder",J786="Resale"),F786*0.3,AND(J786="New",K786="Broker"),F786*0.1,AND(J786="New",K786="Owner"),F786*0,AND(J786="New",K786="Builder"),F786*0.5)</f>
        <v>1146740.7</v>
      </c>
    </row>
    <row r="787" spans="1:15" x14ac:dyDescent="0.3">
      <c r="A787" s="8" t="s">
        <v>846</v>
      </c>
      <c r="B787" s="4" t="s">
        <v>842</v>
      </c>
      <c r="C787" s="4" t="s">
        <v>847</v>
      </c>
      <c r="D787" s="4">
        <v>2</v>
      </c>
      <c r="E787" s="4">
        <v>739</v>
      </c>
      <c r="F787" s="4">
        <v>4513172</v>
      </c>
      <c r="G787" s="4">
        <v>1</v>
      </c>
      <c r="H787" s="4">
        <v>1</v>
      </c>
      <c r="I787" s="4" t="s">
        <v>8</v>
      </c>
      <c r="J787" s="4" t="s">
        <v>23</v>
      </c>
      <c r="K787" s="4" t="s">
        <v>20</v>
      </c>
      <c r="L787" s="9">
        <v>45145</v>
      </c>
      <c r="M787" s="9" t="str">
        <f>TEXT(Source_data[[#This Row],[Listing_Date]],"mmm-yy")</f>
        <v>Aug-23</v>
      </c>
      <c r="N787" s="4">
        <f t="shared" si="12"/>
        <v>6107.1339648173207</v>
      </c>
      <c r="O787" s="3" cm="1">
        <f t="array" ref="O787">_xlfn.IFS(AND(K787="Broker",J787="Resale"),F787*0.5,AND(K787="Owner",J787="Resale"),F787*0,AND(K787="Builder",J787="Resale"),F787*0.3,AND(J787="New",K787="Broker"),F787*0.1,AND(J787="New",K787="Owner"),F787*0,AND(J787="New",K787="Builder"),F787*0.5)</f>
        <v>2256586</v>
      </c>
    </row>
    <row r="788" spans="1:15" x14ac:dyDescent="0.3">
      <c r="A788" s="8" t="s">
        <v>848</v>
      </c>
      <c r="B788" s="4" t="s">
        <v>842</v>
      </c>
      <c r="C788" s="4" t="s">
        <v>843</v>
      </c>
      <c r="D788" s="4">
        <v>3</v>
      </c>
      <c r="E788" s="4">
        <v>1327</v>
      </c>
      <c r="F788" s="4">
        <v>7982211</v>
      </c>
      <c r="G788" s="4">
        <v>3</v>
      </c>
      <c r="H788" s="4">
        <v>1</v>
      </c>
      <c r="I788" s="4" t="s">
        <v>27</v>
      </c>
      <c r="J788" s="4" t="s">
        <v>23</v>
      </c>
      <c r="K788" s="4" t="s">
        <v>20</v>
      </c>
      <c r="L788" s="9">
        <v>45338</v>
      </c>
      <c r="M788" s="9" t="str">
        <f>TEXT(Source_data[[#This Row],[Listing_Date]],"mmm-yy")</f>
        <v>Feb-24</v>
      </c>
      <c r="N788" s="4">
        <f t="shared" si="12"/>
        <v>6015.2305953278074</v>
      </c>
      <c r="O788" s="3" cm="1">
        <f t="array" ref="O788">_xlfn.IFS(AND(K788="Broker",J788="Resale"),F788*0.5,AND(K788="Owner",J788="Resale"),F788*0,AND(K788="Builder",J788="Resale"),F788*0.3,AND(J788="New",K788="Broker"),F788*0.1,AND(J788="New",K788="Owner"),F788*0,AND(J788="New",K788="Builder"),F788*0.5)</f>
        <v>3991105.5</v>
      </c>
    </row>
    <row r="789" spans="1:15" x14ac:dyDescent="0.3">
      <c r="A789" s="8" t="s">
        <v>849</v>
      </c>
      <c r="B789" s="4" t="s">
        <v>842</v>
      </c>
      <c r="C789" s="4" t="s">
        <v>847</v>
      </c>
      <c r="D789" s="4">
        <v>5</v>
      </c>
      <c r="E789" s="4">
        <v>1781</v>
      </c>
      <c r="F789" s="4">
        <v>9528408</v>
      </c>
      <c r="G789" s="4">
        <v>3</v>
      </c>
      <c r="H789" s="4">
        <v>2</v>
      </c>
      <c r="I789" s="4" t="s">
        <v>18</v>
      </c>
      <c r="J789" s="4" t="s">
        <v>23</v>
      </c>
      <c r="K789" s="4" t="s">
        <v>20</v>
      </c>
      <c r="L789" s="9">
        <v>45604</v>
      </c>
      <c r="M789" s="9" t="str">
        <f>TEXT(Source_data[[#This Row],[Listing_Date]],"mmm-yy")</f>
        <v>Nov-24</v>
      </c>
      <c r="N789" s="4">
        <f t="shared" si="12"/>
        <v>5350.032565974172</v>
      </c>
      <c r="O789" s="3" cm="1">
        <f t="array" ref="O789">_xlfn.IFS(AND(K789="Broker",J789="Resale"),F789*0.5,AND(K789="Owner",J789="Resale"),F789*0,AND(K789="Builder",J789="Resale"),F789*0.3,AND(J789="New",K789="Broker"),F789*0.1,AND(J789="New",K789="Owner"),F789*0,AND(J789="New",K789="Builder"),F789*0.5)</f>
        <v>4764204</v>
      </c>
    </row>
    <row r="790" spans="1:15" x14ac:dyDescent="0.3">
      <c r="A790" s="8" t="s">
        <v>850</v>
      </c>
      <c r="B790" s="4" t="s">
        <v>842</v>
      </c>
      <c r="C790" s="4" t="s">
        <v>847</v>
      </c>
      <c r="D790" s="4">
        <v>4</v>
      </c>
      <c r="E790" s="4">
        <v>1734</v>
      </c>
      <c r="F790" s="4">
        <v>9473754</v>
      </c>
      <c r="G790" s="4">
        <v>3</v>
      </c>
      <c r="H790" s="4">
        <v>2</v>
      </c>
      <c r="I790" s="4" t="s">
        <v>8</v>
      </c>
      <c r="J790" s="4" t="s">
        <v>23</v>
      </c>
      <c r="K790" s="4" t="s">
        <v>24</v>
      </c>
      <c r="L790" s="9">
        <v>45900</v>
      </c>
      <c r="M790" s="9" t="str">
        <f>TEXT(Source_data[[#This Row],[Listing_Date]],"mmm-yy")</f>
        <v>Aug-25</v>
      </c>
      <c r="N790" s="4">
        <f t="shared" si="12"/>
        <v>5463.5259515570933</v>
      </c>
      <c r="O790" s="3" cm="1">
        <f t="array" ref="O790">_xlfn.IFS(AND(K790="Broker",J790="Resale"),F790*0.5,AND(K790="Owner",J790="Resale"),F790*0,AND(K790="Builder",J790="Resale"),F790*0.3,AND(J790="New",K790="Broker"),F790*0.1,AND(J790="New",K790="Owner"),F790*0,AND(J790="New",K790="Builder"),F790*0.5)</f>
        <v>2842126.1999999997</v>
      </c>
    </row>
    <row r="791" spans="1:15" x14ac:dyDescent="0.3">
      <c r="A791" s="8" t="s">
        <v>851</v>
      </c>
      <c r="B791" s="4" t="s">
        <v>842</v>
      </c>
      <c r="C791" s="4" t="s">
        <v>843</v>
      </c>
      <c r="D791" s="4">
        <v>3</v>
      </c>
      <c r="E791" s="4">
        <v>1570</v>
      </c>
      <c r="F791" s="4">
        <v>12178777</v>
      </c>
      <c r="G791" s="4">
        <v>2</v>
      </c>
      <c r="H791" s="4">
        <v>2</v>
      </c>
      <c r="I791" s="4" t="s">
        <v>8</v>
      </c>
      <c r="J791" s="4" t="s">
        <v>23</v>
      </c>
      <c r="K791" s="4" t="s">
        <v>20</v>
      </c>
      <c r="L791" s="9">
        <v>45512</v>
      </c>
      <c r="M791" s="9" t="str">
        <f>TEXT(Source_data[[#This Row],[Listing_Date]],"mmm-yy")</f>
        <v>Aug-24</v>
      </c>
      <c r="N791" s="4">
        <f t="shared" si="12"/>
        <v>7757.1828025477707</v>
      </c>
      <c r="O791" s="3" cm="1">
        <f t="array" ref="O791">_xlfn.IFS(AND(K791="Broker",J791="Resale"),F791*0.5,AND(K791="Owner",J791="Resale"),F791*0,AND(K791="Builder",J791="Resale"),F791*0.3,AND(J791="New",K791="Broker"),F791*0.1,AND(J791="New",K791="Owner"),F791*0,AND(J791="New",K791="Builder"),F791*0.5)</f>
        <v>6089388.5</v>
      </c>
    </row>
    <row r="792" spans="1:15" x14ac:dyDescent="0.3">
      <c r="A792" s="8" t="s">
        <v>852</v>
      </c>
      <c r="B792" s="4" t="s">
        <v>842</v>
      </c>
      <c r="C792" s="4" t="s">
        <v>17</v>
      </c>
      <c r="D792" s="4">
        <v>3</v>
      </c>
      <c r="E792" s="4">
        <v>1005</v>
      </c>
      <c r="F792" s="4">
        <v>5817055</v>
      </c>
      <c r="G792" s="4">
        <v>3</v>
      </c>
      <c r="H792" s="4">
        <v>1</v>
      </c>
      <c r="I792" s="4" t="s">
        <v>8</v>
      </c>
      <c r="J792" s="4" t="s">
        <v>19</v>
      </c>
      <c r="K792" s="4" t="s">
        <v>24</v>
      </c>
      <c r="L792" s="9">
        <v>45491</v>
      </c>
      <c r="M792" s="9" t="str">
        <f>TEXT(Source_data[[#This Row],[Listing_Date]],"mmm-yy")</f>
        <v>Jul-24</v>
      </c>
      <c r="N792" s="4">
        <f t="shared" si="12"/>
        <v>5788.1144278606962</v>
      </c>
      <c r="O792" s="3" cm="1">
        <f t="array" ref="O792">_xlfn.IFS(AND(K792="Broker",J792="Resale"),F792*0.5,AND(K792="Owner",J792="Resale"),F792*0,AND(K792="Builder",J792="Resale"),F792*0.3,AND(J792="New",K792="Broker"),F792*0.1,AND(J792="New",K792="Owner"),F792*0,AND(J792="New",K792="Builder"),F792*0.5)</f>
        <v>2908527.5</v>
      </c>
    </row>
    <row r="793" spans="1:15" x14ac:dyDescent="0.3">
      <c r="A793" s="8" t="s">
        <v>853</v>
      </c>
      <c r="B793" s="4" t="s">
        <v>842</v>
      </c>
      <c r="C793" s="4" t="s">
        <v>843</v>
      </c>
      <c r="D793" s="4">
        <v>3</v>
      </c>
      <c r="E793" s="4">
        <v>1725</v>
      </c>
      <c r="F793" s="4">
        <v>10378583</v>
      </c>
      <c r="G793" s="4">
        <v>2</v>
      </c>
      <c r="H793" s="4">
        <v>2</v>
      </c>
      <c r="I793" s="4" t="s">
        <v>27</v>
      </c>
      <c r="J793" s="4" t="s">
        <v>19</v>
      </c>
      <c r="K793" s="4" t="s">
        <v>36</v>
      </c>
      <c r="L793" s="9">
        <v>45104</v>
      </c>
      <c r="M793" s="9" t="str">
        <f>TEXT(Source_data[[#This Row],[Listing_Date]],"mmm-yy")</f>
        <v>Jun-23</v>
      </c>
      <c r="N793" s="4">
        <f t="shared" si="12"/>
        <v>6016.5698550724637</v>
      </c>
      <c r="O793" s="3" cm="1">
        <f t="array" ref="O793">_xlfn.IFS(AND(K793="Broker",J793="Resale"),F793*0.5,AND(K793="Owner",J793="Resale"),F793*0,AND(K793="Builder",J793="Resale"),F793*0.3,AND(J793="New",K793="Broker"),F793*0.1,AND(J793="New",K793="Owner"),F793*0,AND(J793="New",K793="Builder"),F793*0.5)</f>
        <v>0</v>
      </c>
    </row>
    <row r="794" spans="1:15" x14ac:dyDescent="0.3">
      <c r="A794" s="8" t="s">
        <v>854</v>
      </c>
      <c r="B794" s="4" t="s">
        <v>842</v>
      </c>
      <c r="C794" s="4" t="s">
        <v>847</v>
      </c>
      <c r="D794" s="4">
        <v>3</v>
      </c>
      <c r="E794" s="4">
        <v>1142</v>
      </c>
      <c r="F794" s="4">
        <v>3767074</v>
      </c>
      <c r="G794" s="4">
        <v>4</v>
      </c>
      <c r="H794" s="4">
        <v>3</v>
      </c>
      <c r="I794" s="4" t="s">
        <v>8</v>
      </c>
      <c r="J794" s="4" t="s">
        <v>23</v>
      </c>
      <c r="K794" s="4" t="s">
        <v>36</v>
      </c>
      <c r="L794" s="9">
        <v>45008</v>
      </c>
      <c r="M794" s="9" t="str">
        <f>TEXT(Source_data[[#This Row],[Listing_Date]],"mmm-yy")</f>
        <v>Mar-23</v>
      </c>
      <c r="N794" s="4">
        <f t="shared" si="12"/>
        <v>3298.6637478108582</v>
      </c>
      <c r="O794" s="3" cm="1">
        <f t="array" ref="O794">_xlfn.IFS(AND(K794="Broker",J794="Resale"),F794*0.5,AND(K794="Owner",J794="Resale"),F794*0,AND(K794="Builder",J794="Resale"),F794*0.3,AND(J794="New",K794="Broker"),F794*0.1,AND(J794="New",K794="Owner"),F794*0,AND(J794="New",K794="Builder"),F794*0.5)</f>
        <v>0</v>
      </c>
    </row>
    <row r="795" spans="1:15" x14ac:dyDescent="0.3">
      <c r="A795" s="8" t="s">
        <v>855</v>
      </c>
      <c r="B795" s="4" t="s">
        <v>842</v>
      </c>
      <c r="C795" s="4" t="s">
        <v>17</v>
      </c>
      <c r="D795" s="4">
        <v>3</v>
      </c>
      <c r="E795" s="4">
        <v>1685</v>
      </c>
      <c r="F795" s="4">
        <v>8499910</v>
      </c>
      <c r="G795" s="4">
        <v>3</v>
      </c>
      <c r="H795" s="4">
        <v>2</v>
      </c>
      <c r="I795" s="4" t="s">
        <v>8</v>
      </c>
      <c r="J795" s="4" t="s">
        <v>19</v>
      </c>
      <c r="K795" s="4" t="s">
        <v>20</v>
      </c>
      <c r="L795" s="9">
        <v>45310</v>
      </c>
      <c r="M795" s="9" t="str">
        <f>TEXT(Source_data[[#This Row],[Listing_Date]],"mmm-yy")</f>
        <v>Jan-24</v>
      </c>
      <c r="N795" s="4">
        <f t="shared" si="12"/>
        <v>5044.4569732937689</v>
      </c>
      <c r="O795" s="3" cm="1">
        <f t="array" ref="O795">_xlfn.IFS(AND(K795="Broker",J795="Resale"),F795*0.5,AND(K795="Owner",J795="Resale"),F795*0,AND(K795="Builder",J795="Resale"),F795*0.3,AND(J795="New",K795="Broker"),F795*0.1,AND(J795="New",K795="Owner"),F795*0,AND(J795="New",K795="Builder"),F795*0.5)</f>
        <v>849991</v>
      </c>
    </row>
    <row r="796" spans="1:15" x14ac:dyDescent="0.3">
      <c r="A796" s="8" t="s">
        <v>856</v>
      </c>
      <c r="B796" s="4" t="s">
        <v>842</v>
      </c>
      <c r="C796" s="4" t="s">
        <v>857</v>
      </c>
      <c r="D796" s="4">
        <v>3</v>
      </c>
      <c r="E796" s="4">
        <v>1675</v>
      </c>
      <c r="F796" s="4">
        <v>6982032</v>
      </c>
      <c r="G796" s="4">
        <v>3</v>
      </c>
      <c r="H796" s="4">
        <v>2</v>
      </c>
      <c r="I796" s="4" t="s">
        <v>18</v>
      </c>
      <c r="J796" s="4" t="s">
        <v>19</v>
      </c>
      <c r="K796" s="4" t="s">
        <v>24</v>
      </c>
      <c r="L796" s="9">
        <v>45144</v>
      </c>
      <c r="M796" s="9" t="str">
        <f>TEXT(Source_data[[#This Row],[Listing_Date]],"mmm-yy")</f>
        <v>Aug-23</v>
      </c>
      <c r="N796" s="4">
        <f t="shared" si="12"/>
        <v>4168.3773134328358</v>
      </c>
      <c r="O796" s="3" cm="1">
        <f t="array" ref="O796">_xlfn.IFS(AND(K796="Broker",J796="Resale"),F796*0.5,AND(K796="Owner",J796="Resale"),F796*0,AND(K796="Builder",J796="Resale"),F796*0.3,AND(J796="New",K796="Broker"),F796*0.1,AND(J796="New",K796="Owner"),F796*0,AND(J796="New",K796="Builder"),F796*0.5)</f>
        <v>3491016</v>
      </c>
    </row>
    <row r="797" spans="1:15" x14ac:dyDescent="0.3">
      <c r="A797" s="8" t="s">
        <v>858</v>
      </c>
      <c r="B797" s="4" t="s">
        <v>842</v>
      </c>
      <c r="C797" s="4" t="s">
        <v>17</v>
      </c>
      <c r="D797" s="4">
        <v>1</v>
      </c>
      <c r="E797" s="4">
        <v>562</v>
      </c>
      <c r="F797" s="4">
        <v>3389038</v>
      </c>
      <c r="G797" s="4">
        <v>1</v>
      </c>
      <c r="H797" s="4">
        <v>3</v>
      </c>
      <c r="I797" s="4" t="s">
        <v>8</v>
      </c>
      <c r="J797" s="4" t="s">
        <v>23</v>
      </c>
      <c r="K797" s="4" t="s">
        <v>24</v>
      </c>
      <c r="L797" s="9">
        <v>45592</v>
      </c>
      <c r="M797" s="9" t="str">
        <f>TEXT(Source_data[[#This Row],[Listing_Date]],"mmm-yy")</f>
        <v>Oct-24</v>
      </c>
      <c r="N797" s="4">
        <f t="shared" si="12"/>
        <v>6030.3167259786478</v>
      </c>
      <c r="O797" s="3" cm="1">
        <f t="array" ref="O797">_xlfn.IFS(AND(K797="Broker",J797="Resale"),F797*0.5,AND(K797="Owner",J797="Resale"),F797*0,AND(K797="Builder",J797="Resale"),F797*0.3,AND(J797="New",K797="Broker"),F797*0.1,AND(J797="New",K797="Owner"),F797*0,AND(J797="New",K797="Builder"),F797*0.5)</f>
        <v>1016711.3999999999</v>
      </c>
    </row>
    <row r="798" spans="1:15" x14ac:dyDescent="0.3">
      <c r="A798" s="8" t="s">
        <v>859</v>
      </c>
      <c r="B798" s="4" t="s">
        <v>842</v>
      </c>
      <c r="C798" s="4" t="s">
        <v>843</v>
      </c>
      <c r="D798" s="4">
        <v>3</v>
      </c>
      <c r="E798" s="4">
        <v>1673</v>
      </c>
      <c r="F798" s="4">
        <v>9204989</v>
      </c>
      <c r="G798" s="4">
        <v>3</v>
      </c>
      <c r="H798" s="4">
        <v>3</v>
      </c>
      <c r="I798" s="4" t="s">
        <v>27</v>
      </c>
      <c r="J798" s="4" t="s">
        <v>23</v>
      </c>
      <c r="K798" s="4" t="s">
        <v>36</v>
      </c>
      <c r="L798" s="9">
        <v>45873</v>
      </c>
      <c r="M798" s="9" t="str">
        <f>TEXT(Source_data[[#This Row],[Listing_Date]],"mmm-yy")</f>
        <v>Aug-25</v>
      </c>
      <c r="N798" s="4">
        <f t="shared" si="12"/>
        <v>5502.0854751942616</v>
      </c>
      <c r="O798" s="3" cm="1">
        <f t="array" ref="O798">_xlfn.IFS(AND(K798="Broker",J798="Resale"),F798*0.5,AND(K798="Owner",J798="Resale"),F798*0,AND(K798="Builder",J798="Resale"),F798*0.3,AND(J798="New",K798="Broker"),F798*0.1,AND(J798="New",K798="Owner"),F798*0,AND(J798="New",K798="Builder"),F798*0.5)</f>
        <v>0</v>
      </c>
    </row>
    <row r="799" spans="1:15" x14ac:dyDescent="0.3">
      <c r="A799" s="8" t="s">
        <v>860</v>
      </c>
      <c r="B799" s="4" t="s">
        <v>842</v>
      </c>
      <c r="C799" s="4" t="s">
        <v>857</v>
      </c>
      <c r="D799" s="4">
        <v>5</v>
      </c>
      <c r="E799" s="4">
        <v>1625</v>
      </c>
      <c r="F799" s="4">
        <v>9301783</v>
      </c>
      <c r="G799" s="4">
        <v>4</v>
      </c>
      <c r="H799" s="4">
        <v>0</v>
      </c>
      <c r="I799" s="4" t="s">
        <v>18</v>
      </c>
      <c r="J799" s="4" t="s">
        <v>19</v>
      </c>
      <c r="K799" s="4" t="s">
        <v>24</v>
      </c>
      <c r="L799" s="9">
        <v>45678</v>
      </c>
      <c r="M799" s="9" t="str">
        <f>TEXT(Source_data[[#This Row],[Listing_Date]],"mmm-yy")</f>
        <v>Jan-25</v>
      </c>
      <c r="N799" s="4">
        <f t="shared" si="12"/>
        <v>5724.1741538461538</v>
      </c>
      <c r="O799" s="3" cm="1">
        <f t="array" ref="O799">_xlfn.IFS(AND(K799="Broker",J799="Resale"),F799*0.5,AND(K799="Owner",J799="Resale"),F799*0,AND(K799="Builder",J799="Resale"),F799*0.3,AND(J799="New",K799="Broker"),F799*0.1,AND(J799="New",K799="Owner"),F799*0,AND(J799="New",K799="Builder"),F799*0.5)</f>
        <v>4650891.5</v>
      </c>
    </row>
    <row r="800" spans="1:15" x14ac:dyDescent="0.3">
      <c r="A800" s="8" t="s">
        <v>861</v>
      </c>
      <c r="B800" s="4" t="s">
        <v>842</v>
      </c>
      <c r="C800" s="4" t="s">
        <v>845</v>
      </c>
      <c r="D800" s="4">
        <v>2</v>
      </c>
      <c r="E800" s="4">
        <v>956</v>
      </c>
      <c r="F800" s="4">
        <v>6045612</v>
      </c>
      <c r="G800" s="4">
        <v>2</v>
      </c>
      <c r="H800" s="4">
        <v>2</v>
      </c>
      <c r="I800" s="4" t="s">
        <v>18</v>
      </c>
      <c r="J800" s="4" t="s">
        <v>19</v>
      </c>
      <c r="K800" s="4" t="s">
        <v>24</v>
      </c>
      <c r="L800" s="9">
        <v>45934</v>
      </c>
      <c r="M800" s="9" t="str">
        <f>TEXT(Source_data[[#This Row],[Listing_Date]],"mmm-yy")</f>
        <v>Oct-25</v>
      </c>
      <c r="N800" s="4">
        <f t="shared" si="12"/>
        <v>6323.8619246861927</v>
      </c>
      <c r="O800" s="3" cm="1">
        <f t="array" ref="O800">_xlfn.IFS(AND(K800="Broker",J800="Resale"),F800*0.5,AND(K800="Owner",J800="Resale"),F800*0,AND(K800="Builder",J800="Resale"),F800*0.3,AND(J800="New",K800="Broker"),F800*0.1,AND(J800="New",K800="Owner"),F800*0,AND(J800="New",K800="Builder"),F800*0.5)</f>
        <v>3022806</v>
      </c>
    </row>
    <row r="801" spans="1:15" x14ac:dyDescent="0.3">
      <c r="A801" s="8" t="s">
        <v>862</v>
      </c>
      <c r="B801" s="4" t="s">
        <v>842</v>
      </c>
      <c r="C801" s="4" t="s">
        <v>847</v>
      </c>
      <c r="D801" s="4">
        <v>3</v>
      </c>
      <c r="E801" s="4">
        <v>1061</v>
      </c>
      <c r="F801" s="4">
        <v>5299201</v>
      </c>
      <c r="G801" s="4">
        <v>3</v>
      </c>
      <c r="H801" s="4">
        <v>2</v>
      </c>
      <c r="I801" s="4" t="s">
        <v>18</v>
      </c>
      <c r="J801" s="4" t="s">
        <v>23</v>
      </c>
      <c r="K801" s="4" t="s">
        <v>24</v>
      </c>
      <c r="L801" s="9">
        <v>45811</v>
      </c>
      <c r="M801" s="9" t="str">
        <f>TEXT(Source_data[[#This Row],[Listing_Date]],"mmm-yy")</f>
        <v>Jun-25</v>
      </c>
      <c r="N801" s="4">
        <f t="shared" si="12"/>
        <v>4994.5344015080109</v>
      </c>
      <c r="O801" s="3" cm="1">
        <f t="array" ref="O801">_xlfn.IFS(AND(K801="Broker",J801="Resale"),F801*0.5,AND(K801="Owner",J801="Resale"),F801*0,AND(K801="Builder",J801="Resale"),F801*0.3,AND(J801="New",K801="Broker"),F801*0.1,AND(J801="New",K801="Owner"),F801*0,AND(J801="New",K801="Builder"),F801*0.5)</f>
        <v>1589760.3</v>
      </c>
    </row>
    <row r="802" spans="1:15" x14ac:dyDescent="0.3">
      <c r="A802" s="8" t="s">
        <v>863</v>
      </c>
      <c r="B802" s="4" t="s">
        <v>842</v>
      </c>
      <c r="C802" s="4" t="s">
        <v>864</v>
      </c>
      <c r="D802" s="4">
        <v>2</v>
      </c>
      <c r="E802" s="4">
        <v>1150</v>
      </c>
      <c r="F802" s="4">
        <v>7293985</v>
      </c>
      <c r="G802" s="4">
        <v>2</v>
      </c>
      <c r="H802" s="4">
        <v>2</v>
      </c>
      <c r="I802" s="4" t="s">
        <v>27</v>
      </c>
      <c r="J802" s="4" t="s">
        <v>19</v>
      </c>
      <c r="K802" s="4" t="s">
        <v>24</v>
      </c>
      <c r="L802" s="9">
        <v>45766</v>
      </c>
      <c r="M802" s="9" t="str">
        <f>TEXT(Source_data[[#This Row],[Listing_Date]],"mmm-yy")</f>
        <v>Apr-25</v>
      </c>
      <c r="N802" s="4">
        <f t="shared" si="12"/>
        <v>6342.5956521739126</v>
      </c>
      <c r="O802" s="3" cm="1">
        <f t="array" ref="O802">_xlfn.IFS(AND(K802="Broker",J802="Resale"),F802*0.5,AND(K802="Owner",J802="Resale"),F802*0,AND(K802="Builder",J802="Resale"),F802*0.3,AND(J802="New",K802="Broker"),F802*0.1,AND(J802="New",K802="Owner"),F802*0,AND(J802="New",K802="Builder"),F802*0.5)</f>
        <v>3646992.5</v>
      </c>
    </row>
    <row r="803" spans="1:15" x14ac:dyDescent="0.3">
      <c r="A803" s="8" t="s">
        <v>865</v>
      </c>
      <c r="B803" s="4" t="s">
        <v>842</v>
      </c>
      <c r="C803" s="4" t="s">
        <v>864</v>
      </c>
      <c r="D803" s="4">
        <v>2</v>
      </c>
      <c r="E803" s="4">
        <v>465</v>
      </c>
      <c r="F803" s="4">
        <v>2507826</v>
      </c>
      <c r="G803" s="4">
        <v>2</v>
      </c>
      <c r="H803" s="4">
        <v>2</v>
      </c>
      <c r="I803" s="4" t="s">
        <v>8</v>
      </c>
      <c r="J803" s="4" t="s">
        <v>23</v>
      </c>
      <c r="K803" s="4" t="s">
        <v>36</v>
      </c>
      <c r="L803" s="9">
        <v>45436</v>
      </c>
      <c r="M803" s="9" t="str">
        <f>TEXT(Source_data[[#This Row],[Listing_Date]],"mmm-yy")</f>
        <v>May-24</v>
      </c>
      <c r="N803" s="4">
        <f t="shared" si="12"/>
        <v>5393.1741935483869</v>
      </c>
      <c r="O803" s="3" cm="1">
        <f t="array" ref="O803">_xlfn.IFS(AND(K803="Broker",J803="Resale"),F803*0.5,AND(K803="Owner",J803="Resale"),F803*0,AND(K803="Builder",J803="Resale"),F803*0.3,AND(J803="New",K803="Broker"),F803*0.1,AND(J803="New",K803="Owner"),F803*0,AND(J803="New",K803="Builder"),F803*0.5)</f>
        <v>0</v>
      </c>
    </row>
    <row r="804" spans="1:15" x14ac:dyDescent="0.3">
      <c r="A804" s="8" t="s">
        <v>866</v>
      </c>
      <c r="B804" s="4" t="s">
        <v>842</v>
      </c>
      <c r="C804" s="4" t="s">
        <v>857</v>
      </c>
      <c r="D804" s="4">
        <v>3</v>
      </c>
      <c r="E804" s="4">
        <v>1294</v>
      </c>
      <c r="F804" s="4">
        <v>5903072</v>
      </c>
      <c r="G804" s="4">
        <v>2</v>
      </c>
      <c r="H804" s="4">
        <v>4</v>
      </c>
      <c r="I804" s="4" t="s">
        <v>8</v>
      </c>
      <c r="J804" s="4" t="s">
        <v>23</v>
      </c>
      <c r="K804" s="4" t="s">
        <v>20</v>
      </c>
      <c r="L804" s="9">
        <v>45729</v>
      </c>
      <c r="M804" s="9" t="str">
        <f>TEXT(Source_data[[#This Row],[Listing_Date]],"mmm-yy")</f>
        <v>Mar-25</v>
      </c>
      <c r="N804" s="4">
        <f t="shared" si="12"/>
        <v>4561.8794435857808</v>
      </c>
      <c r="O804" s="3" cm="1">
        <f t="array" ref="O804">_xlfn.IFS(AND(K804="Broker",J804="Resale"),F804*0.5,AND(K804="Owner",J804="Resale"),F804*0,AND(K804="Builder",J804="Resale"),F804*0.3,AND(J804="New",K804="Broker"),F804*0.1,AND(J804="New",K804="Owner"),F804*0,AND(J804="New",K804="Builder"),F804*0.5)</f>
        <v>2951536</v>
      </c>
    </row>
    <row r="805" spans="1:15" x14ac:dyDescent="0.3">
      <c r="A805" s="8" t="s">
        <v>867</v>
      </c>
      <c r="B805" s="4" t="s">
        <v>842</v>
      </c>
      <c r="C805" s="4" t="s">
        <v>864</v>
      </c>
      <c r="D805" s="4">
        <v>4</v>
      </c>
      <c r="E805" s="4">
        <v>2237</v>
      </c>
      <c r="F805" s="4">
        <v>13358222</v>
      </c>
      <c r="G805" s="4">
        <v>4</v>
      </c>
      <c r="H805" s="4">
        <v>2</v>
      </c>
      <c r="I805" s="4" t="s">
        <v>18</v>
      </c>
      <c r="J805" s="4" t="s">
        <v>23</v>
      </c>
      <c r="K805" s="4" t="s">
        <v>24</v>
      </c>
      <c r="L805" s="9">
        <v>45886</v>
      </c>
      <c r="M805" s="9" t="str">
        <f>TEXT(Source_data[[#This Row],[Listing_Date]],"mmm-yy")</f>
        <v>Aug-25</v>
      </c>
      <c r="N805" s="4">
        <f t="shared" si="12"/>
        <v>5971.4894948591864</v>
      </c>
      <c r="O805" s="3" cm="1">
        <f t="array" ref="O805">_xlfn.IFS(AND(K805="Broker",J805="Resale"),F805*0.5,AND(K805="Owner",J805="Resale"),F805*0,AND(K805="Builder",J805="Resale"),F805*0.3,AND(J805="New",K805="Broker"),F805*0.1,AND(J805="New",K805="Owner"),F805*0,AND(J805="New",K805="Builder"),F805*0.5)</f>
        <v>4007466.5999999996</v>
      </c>
    </row>
    <row r="806" spans="1:15" x14ac:dyDescent="0.3">
      <c r="A806" s="8" t="s">
        <v>868</v>
      </c>
      <c r="B806" s="4" t="s">
        <v>842</v>
      </c>
      <c r="C806" s="4" t="s">
        <v>864</v>
      </c>
      <c r="D806" s="4">
        <v>3</v>
      </c>
      <c r="E806" s="4">
        <v>1525</v>
      </c>
      <c r="F806" s="4">
        <v>8977400</v>
      </c>
      <c r="G806" s="4">
        <v>3</v>
      </c>
      <c r="H806" s="4">
        <v>3</v>
      </c>
      <c r="I806" s="4" t="s">
        <v>8</v>
      </c>
      <c r="J806" s="4" t="s">
        <v>23</v>
      </c>
      <c r="K806" s="4" t="s">
        <v>24</v>
      </c>
      <c r="L806" s="9">
        <v>44976</v>
      </c>
      <c r="M806" s="9" t="str">
        <f>TEXT(Source_data[[#This Row],[Listing_Date]],"mmm-yy")</f>
        <v>Feb-23</v>
      </c>
      <c r="N806" s="4">
        <f t="shared" si="12"/>
        <v>5886.8196721311479</v>
      </c>
      <c r="O806" s="3" cm="1">
        <f t="array" ref="O806">_xlfn.IFS(AND(K806="Broker",J806="Resale"),F806*0.5,AND(K806="Owner",J806="Resale"),F806*0,AND(K806="Builder",J806="Resale"),F806*0.3,AND(J806="New",K806="Broker"),F806*0.1,AND(J806="New",K806="Owner"),F806*0,AND(J806="New",K806="Builder"),F806*0.5)</f>
        <v>2693220</v>
      </c>
    </row>
    <row r="807" spans="1:15" x14ac:dyDescent="0.3">
      <c r="A807" s="8" t="s">
        <v>869</v>
      </c>
      <c r="B807" s="4" t="s">
        <v>842</v>
      </c>
      <c r="C807" s="4" t="s">
        <v>857</v>
      </c>
      <c r="D807" s="4">
        <v>3</v>
      </c>
      <c r="E807" s="4">
        <v>1040</v>
      </c>
      <c r="F807" s="4">
        <v>4307658</v>
      </c>
      <c r="G807" s="4">
        <v>4</v>
      </c>
      <c r="H807" s="4">
        <v>3</v>
      </c>
      <c r="I807" s="4" t="s">
        <v>18</v>
      </c>
      <c r="J807" s="4" t="s">
        <v>23</v>
      </c>
      <c r="K807" s="4" t="s">
        <v>20</v>
      </c>
      <c r="L807" s="9">
        <v>45628</v>
      </c>
      <c r="M807" s="9" t="str">
        <f>TEXT(Source_data[[#This Row],[Listing_Date]],"mmm-yy")</f>
        <v>Dec-24</v>
      </c>
      <c r="N807" s="4">
        <f t="shared" si="12"/>
        <v>4141.9788461538465</v>
      </c>
      <c r="O807" s="3" cm="1">
        <f t="array" ref="O807">_xlfn.IFS(AND(K807="Broker",J807="Resale"),F807*0.5,AND(K807="Owner",J807="Resale"),F807*0,AND(K807="Builder",J807="Resale"),F807*0.3,AND(J807="New",K807="Broker"),F807*0.1,AND(J807="New",K807="Owner"),F807*0,AND(J807="New",K807="Builder"),F807*0.5)</f>
        <v>2153829</v>
      </c>
    </row>
    <row r="808" spans="1:15" x14ac:dyDescent="0.3">
      <c r="A808" s="8" t="s">
        <v>870</v>
      </c>
      <c r="B808" s="4" t="s">
        <v>842</v>
      </c>
      <c r="C808" s="4" t="s">
        <v>843</v>
      </c>
      <c r="D808" s="4">
        <v>2</v>
      </c>
      <c r="E808" s="4">
        <v>675</v>
      </c>
      <c r="F808" s="4">
        <v>11819741</v>
      </c>
      <c r="G808" s="4">
        <v>1</v>
      </c>
      <c r="H808" s="4">
        <v>1</v>
      </c>
      <c r="I808" s="4" t="s">
        <v>27</v>
      </c>
      <c r="J808" s="4" t="s">
        <v>23</v>
      </c>
      <c r="K808" s="4" t="s">
        <v>24</v>
      </c>
      <c r="L808" s="9">
        <v>45017</v>
      </c>
      <c r="M808" s="9" t="str">
        <f>TEXT(Source_data[[#This Row],[Listing_Date]],"mmm-yy")</f>
        <v>Apr-23</v>
      </c>
      <c r="N808" s="4">
        <f t="shared" si="12"/>
        <v>17510.727407407408</v>
      </c>
      <c r="O808" s="3" cm="1">
        <f t="array" ref="O808">_xlfn.IFS(AND(K808="Broker",J808="Resale"),F808*0.5,AND(K808="Owner",J808="Resale"),F808*0,AND(K808="Builder",J808="Resale"),F808*0.3,AND(J808="New",K808="Broker"),F808*0.1,AND(J808="New",K808="Owner"),F808*0,AND(J808="New",K808="Builder"),F808*0.5)</f>
        <v>3545922.3</v>
      </c>
    </row>
    <row r="809" spans="1:15" x14ac:dyDescent="0.3">
      <c r="A809" s="8" t="s">
        <v>871</v>
      </c>
      <c r="B809" s="4" t="s">
        <v>842</v>
      </c>
      <c r="C809" s="4" t="s">
        <v>17</v>
      </c>
      <c r="D809" s="4">
        <v>3</v>
      </c>
      <c r="E809" s="4">
        <v>1292</v>
      </c>
      <c r="F809" s="4">
        <v>8928686</v>
      </c>
      <c r="G809" s="4">
        <v>3</v>
      </c>
      <c r="H809" s="4">
        <v>2</v>
      </c>
      <c r="I809" s="4" t="s">
        <v>18</v>
      </c>
      <c r="J809" s="4" t="s">
        <v>23</v>
      </c>
      <c r="K809" s="4" t="s">
        <v>20</v>
      </c>
      <c r="L809" s="9">
        <v>45484</v>
      </c>
      <c r="M809" s="9" t="str">
        <f>TEXT(Source_data[[#This Row],[Listing_Date]],"mmm-yy")</f>
        <v>Jul-24</v>
      </c>
      <c r="N809" s="4">
        <f t="shared" si="12"/>
        <v>6910.7476780185762</v>
      </c>
      <c r="O809" s="3" cm="1">
        <f t="array" ref="O809">_xlfn.IFS(AND(K809="Broker",J809="Resale"),F809*0.5,AND(K809="Owner",J809="Resale"),F809*0,AND(K809="Builder",J809="Resale"),F809*0.3,AND(J809="New",K809="Broker"),F809*0.1,AND(J809="New",K809="Owner"),F809*0,AND(J809="New",K809="Builder"),F809*0.5)</f>
        <v>4464343</v>
      </c>
    </row>
    <row r="810" spans="1:15" x14ac:dyDescent="0.3">
      <c r="A810" s="8" t="s">
        <v>872</v>
      </c>
      <c r="B810" s="4" t="s">
        <v>842</v>
      </c>
      <c r="C810" s="4" t="s">
        <v>17</v>
      </c>
      <c r="D810" s="4">
        <v>2</v>
      </c>
      <c r="E810" s="4">
        <v>1124</v>
      </c>
      <c r="F810" s="4">
        <v>8020405</v>
      </c>
      <c r="G810" s="4">
        <v>2</v>
      </c>
      <c r="H810" s="4">
        <v>1</v>
      </c>
      <c r="I810" s="4" t="s">
        <v>27</v>
      </c>
      <c r="J810" s="4" t="s">
        <v>19</v>
      </c>
      <c r="K810" s="4" t="s">
        <v>20</v>
      </c>
      <c r="L810" s="9">
        <v>45576</v>
      </c>
      <c r="M810" s="9" t="str">
        <f>TEXT(Source_data[[#This Row],[Listing_Date]],"mmm-yy")</f>
        <v>Oct-24</v>
      </c>
      <c r="N810" s="4">
        <f t="shared" si="12"/>
        <v>7135.5916370106761</v>
      </c>
      <c r="O810" s="3" cm="1">
        <f t="array" ref="O810">_xlfn.IFS(AND(K810="Broker",J810="Resale"),F810*0.5,AND(K810="Owner",J810="Resale"),F810*0,AND(K810="Builder",J810="Resale"),F810*0.3,AND(J810="New",K810="Broker"),F810*0.1,AND(J810="New",K810="Owner"),F810*0,AND(J810="New",K810="Builder"),F810*0.5)</f>
        <v>802040.5</v>
      </c>
    </row>
    <row r="811" spans="1:15" x14ac:dyDescent="0.3">
      <c r="A811" s="8" t="s">
        <v>873</v>
      </c>
      <c r="B811" s="4" t="s">
        <v>842</v>
      </c>
      <c r="C811" s="4" t="s">
        <v>847</v>
      </c>
      <c r="D811" s="4">
        <v>2</v>
      </c>
      <c r="E811" s="4">
        <v>1170</v>
      </c>
      <c r="F811" s="4">
        <v>6786000</v>
      </c>
      <c r="G811" s="4">
        <v>1</v>
      </c>
      <c r="H811" s="4">
        <v>2</v>
      </c>
      <c r="I811" s="4" t="s">
        <v>18</v>
      </c>
      <c r="J811" s="4" t="s">
        <v>19</v>
      </c>
      <c r="K811" s="4" t="s">
        <v>24</v>
      </c>
      <c r="L811" s="9">
        <v>45314</v>
      </c>
      <c r="M811" s="9" t="str">
        <f>TEXT(Source_data[[#This Row],[Listing_Date]],"mmm-yy")</f>
        <v>Jan-24</v>
      </c>
      <c r="N811" s="4">
        <f t="shared" si="12"/>
        <v>5800</v>
      </c>
      <c r="O811" s="3" cm="1">
        <f t="array" ref="O811">_xlfn.IFS(AND(K811="Broker",J811="Resale"),F811*0.5,AND(K811="Owner",J811="Resale"),F811*0,AND(K811="Builder",J811="Resale"),F811*0.3,AND(J811="New",K811="Broker"),F811*0.1,AND(J811="New",K811="Owner"),F811*0,AND(J811="New",K811="Builder"),F811*0.5)</f>
        <v>3393000</v>
      </c>
    </row>
    <row r="812" spans="1:15" x14ac:dyDescent="0.3">
      <c r="A812" s="8" t="s">
        <v>874</v>
      </c>
      <c r="B812" s="4" t="s">
        <v>842</v>
      </c>
      <c r="C812" s="4" t="s">
        <v>847</v>
      </c>
      <c r="D812" s="4">
        <v>3</v>
      </c>
      <c r="E812" s="4">
        <v>1407</v>
      </c>
      <c r="F812" s="4">
        <v>6046597</v>
      </c>
      <c r="G812" s="4">
        <v>2</v>
      </c>
      <c r="H812" s="4">
        <v>1</v>
      </c>
      <c r="I812" s="4" t="s">
        <v>18</v>
      </c>
      <c r="J812" s="4" t="s">
        <v>23</v>
      </c>
      <c r="K812" s="4" t="s">
        <v>24</v>
      </c>
      <c r="L812" s="9">
        <v>45685</v>
      </c>
      <c r="M812" s="9" t="str">
        <f>TEXT(Source_data[[#This Row],[Listing_Date]],"mmm-yy")</f>
        <v>Jan-25</v>
      </c>
      <c r="N812" s="4">
        <f t="shared" si="12"/>
        <v>4297.5103056147836</v>
      </c>
      <c r="O812" s="3" cm="1">
        <f t="array" ref="O812">_xlfn.IFS(AND(K812="Broker",J812="Resale"),F812*0.5,AND(K812="Owner",J812="Resale"),F812*0,AND(K812="Builder",J812="Resale"),F812*0.3,AND(J812="New",K812="Broker"),F812*0.1,AND(J812="New",K812="Owner"),F812*0,AND(J812="New",K812="Builder"),F812*0.5)</f>
        <v>1813979.0999999999</v>
      </c>
    </row>
    <row r="813" spans="1:15" x14ac:dyDescent="0.3">
      <c r="A813" s="8" t="s">
        <v>875</v>
      </c>
      <c r="B813" s="4" t="s">
        <v>842</v>
      </c>
      <c r="C813" s="4" t="s">
        <v>857</v>
      </c>
      <c r="D813" s="4">
        <v>1</v>
      </c>
      <c r="E813" s="4">
        <v>438</v>
      </c>
      <c r="F813" s="4">
        <v>2543426</v>
      </c>
      <c r="G813" s="4">
        <v>1</v>
      </c>
      <c r="H813" s="4">
        <v>4</v>
      </c>
      <c r="I813" s="4" t="s">
        <v>27</v>
      </c>
      <c r="J813" s="4" t="s">
        <v>23</v>
      </c>
      <c r="K813" s="4" t="s">
        <v>20</v>
      </c>
      <c r="L813" s="9">
        <v>45905</v>
      </c>
      <c r="M813" s="9" t="str">
        <f>TEXT(Source_data[[#This Row],[Listing_Date]],"mmm-yy")</f>
        <v>Sep-25</v>
      </c>
      <c r="N813" s="4">
        <f t="shared" si="12"/>
        <v>5806.9086757990872</v>
      </c>
      <c r="O813" s="3" cm="1">
        <f t="array" ref="O813">_xlfn.IFS(AND(K813="Broker",J813="Resale"),F813*0.5,AND(K813="Owner",J813="Resale"),F813*0,AND(K813="Builder",J813="Resale"),F813*0.3,AND(J813="New",K813="Broker"),F813*0.1,AND(J813="New",K813="Owner"),F813*0,AND(J813="New",K813="Builder"),F813*0.5)</f>
        <v>1271713</v>
      </c>
    </row>
    <row r="814" spans="1:15" x14ac:dyDescent="0.3">
      <c r="A814" s="8" t="s">
        <v>876</v>
      </c>
      <c r="B814" s="4" t="s">
        <v>842</v>
      </c>
      <c r="C814" s="4" t="s">
        <v>17</v>
      </c>
      <c r="D814" s="4">
        <v>3</v>
      </c>
      <c r="E814" s="4">
        <v>1312</v>
      </c>
      <c r="F814" s="4">
        <v>7328893</v>
      </c>
      <c r="G814" s="4">
        <v>3</v>
      </c>
      <c r="H814" s="4">
        <v>0</v>
      </c>
      <c r="I814" s="4" t="s">
        <v>27</v>
      </c>
      <c r="J814" s="4" t="s">
        <v>23</v>
      </c>
      <c r="K814" s="4" t="s">
        <v>24</v>
      </c>
      <c r="L814" s="9">
        <v>45006</v>
      </c>
      <c r="M814" s="9" t="str">
        <f>TEXT(Source_data[[#This Row],[Listing_Date]],"mmm-yy")</f>
        <v>Mar-23</v>
      </c>
      <c r="N814" s="4">
        <f t="shared" si="12"/>
        <v>5586.0464939024387</v>
      </c>
      <c r="O814" s="3" cm="1">
        <f t="array" ref="O814">_xlfn.IFS(AND(K814="Broker",J814="Resale"),F814*0.5,AND(K814="Owner",J814="Resale"),F814*0,AND(K814="Builder",J814="Resale"),F814*0.3,AND(J814="New",K814="Broker"),F814*0.1,AND(J814="New",K814="Owner"),F814*0,AND(J814="New",K814="Builder"),F814*0.5)</f>
        <v>2198667.9</v>
      </c>
    </row>
    <row r="815" spans="1:15" x14ac:dyDescent="0.3">
      <c r="A815" s="8" t="s">
        <v>877</v>
      </c>
      <c r="B815" s="4" t="s">
        <v>842</v>
      </c>
      <c r="C815" s="4" t="s">
        <v>843</v>
      </c>
      <c r="D815" s="4">
        <v>4</v>
      </c>
      <c r="E815" s="4">
        <v>1931</v>
      </c>
      <c r="F815" s="4">
        <v>11437678</v>
      </c>
      <c r="G815" s="4">
        <v>3</v>
      </c>
      <c r="H815" s="4">
        <v>2</v>
      </c>
      <c r="I815" s="4" t="s">
        <v>27</v>
      </c>
      <c r="J815" s="4" t="s">
        <v>19</v>
      </c>
      <c r="K815" s="4" t="s">
        <v>36</v>
      </c>
      <c r="L815" s="9">
        <v>45180</v>
      </c>
      <c r="M815" s="9" t="str">
        <f>TEXT(Source_data[[#This Row],[Listing_Date]],"mmm-yy")</f>
        <v>Sep-23</v>
      </c>
      <c r="N815" s="4">
        <f t="shared" si="12"/>
        <v>5923.1890212325225</v>
      </c>
      <c r="O815" s="3" cm="1">
        <f t="array" ref="O815">_xlfn.IFS(AND(K815="Broker",J815="Resale"),F815*0.5,AND(K815="Owner",J815="Resale"),F815*0,AND(K815="Builder",J815="Resale"),F815*0.3,AND(J815="New",K815="Broker"),F815*0.1,AND(J815="New",K815="Owner"),F815*0,AND(J815="New",K815="Builder"),F815*0.5)</f>
        <v>0</v>
      </c>
    </row>
    <row r="816" spans="1:15" x14ac:dyDescent="0.3">
      <c r="A816" s="8" t="s">
        <v>878</v>
      </c>
      <c r="B816" s="4" t="s">
        <v>842</v>
      </c>
      <c r="C816" s="4" t="s">
        <v>845</v>
      </c>
      <c r="D816" s="4">
        <v>3</v>
      </c>
      <c r="E816" s="4">
        <v>1132</v>
      </c>
      <c r="F816" s="4">
        <v>5369313</v>
      </c>
      <c r="G816" s="4">
        <v>3</v>
      </c>
      <c r="H816" s="4">
        <v>1</v>
      </c>
      <c r="I816" s="4" t="s">
        <v>8</v>
      </c>
      <c r="J816" s="4" t="s">
        <v>23</v>
      </c>
      <c r="K816" s="4" t="s">
        <v>20</v>
      </c>
      <c r="L816" s="9">
        <v>45199</v>
      </c>
      <c r="M816" s="9" t="str">
        <f>TEXT(Source_data[[#This Row],[Listing_Date]],"mmm-yy")</f>
        <v>Sep-23</v>
      </c>
      <c r="N816" s="4">
        <f t="shared" si="12"/>
        <v>4743.2093639575969</v>
      </c>
      <c r="O816" s="3" cm="1">
        <f t="array" ref="O816">_xlfn.IFS(AND(K816="Broker",J816="Resale"),F816*0.5,AND(K816="Owner",J816="Resale"),F816*0,AND(K816="Builder",J816="Resale"),F816*0.3,AND(J816="New",K816="Broker"),F816*0.1,AND(J816="New",K816="Owner"),F816*0,AND(J816="New",K816="Builder"),F816*0.5)</f>
        <v>2684656.5</v>
      </c>
    </row>
    <row r="817" spans="1:15" x14ac:dyDescent="0.3">
      <c r="A817" s="8" t="s">
        <v>879</v>
      </c>
      <c r="B817" s="4" t="s">
        <v>842</v>
      </c>
      <c r="C817" s="4" t="s">
        <v>857</v>
      </c>
      <c r="D817" s="4">
        <v>2</v>
      </c>
      <c r="E817" s="4">
        <v>836</v>
      </c>
      <c r="F817" s="4">
        <v>4771020</v>
      </c>
      <c r="G817" s="4">
        <v>2</v>
      </c>
      <c r="H817" s="4">
        <v>4</v>
      </c>
      <c r="I817" s="4" t="s">
        <v>27</v>
      </c>
      <c r="J817" s="4" t="s">
        <v>19</v>
      </c>
      <c r="K817" s="4" t="s">
        <v>20</v>
      </c>
      <c r="L817" s="9">
        <v>45445</v>
      </c>
      <c r="M817" s="9" t="str">
        <f>TEXT(Source_data[[#This Row],[Listing_Date]],"mmm-yy")</f>
        <v>Jun-24</v>
      </c>
      <c r="N817" s="4">
        <f t="shared" si="12"/>
        <v>5706.9617224880385</v>
      </c>
      <c r="O817" s="3" cm="1">
        <f t="array" ref="O817">_xlfn.IFS(AND(K817="Broker",J817="Resale"),F817*0.5,AND(K817="Owner",J817="Resale"),F817*0,AND(K817="Builder",J817="Resale"),F817*0.3,AND(J817="New",K817="Broker"),F817*0.1,AND(J817="New",K817="Owner"),F817*0,AND(J817="New",K817="Builder"),F817*0.5)</f>
        <v>477102</v>
      </c>
    </row>
    <row r="818" spans="1:15" x14ac:dyDescent="0.3">
      <c r="A818" s="8" t="s">
        <v>880</v>
      </c>
      <c r="B818" s="4" t="s">
        <v>842</v>
      </c>
      <c r="C818" s="4" t="s">
        <v>843</v>
      </c>
      <c r="D818" s="4">
        <v>2</v>
      </c>
      <c r="E818" s="4">
        <v>1099</v>
      </c>
      <c r="F818" s="4">
        <v>6986793</v>
      </c>
      <c r="G818" s="4">
        <v>1</v>
      </c>
      <c r="H818" s="4">
        <v>2</v>
      </c>
      <c r="I818" s="4" t="s">
        <v>27</v>
      </c>
      <c r="J818" s="4" t="s">
        <v>19</v>
      </c>
      <c r="K818" s="4" t="s">
        <v>24</v>
      </c>
      <c r="L818" s="9">
        <v>45844</v>
      </c>
      <c r="M818" s="9" t="str">
        <f>TEXT(Source_data[[#This Row],[Listing_Date]],"mmm-yy")</f>
        <v>Jul-25</v>
      </c>
      <c r="N818" s="4">
        <f t="shared" si="12"/>
        <v>6357.4094631483167</v>
      </c>
      <c r="O818" s="3" cm="1">
        <f t="array" ref="O818">_xlfn.IFS(AND(K818="Broker",J818="Resale"),F818*0.5,AND(K818="Owner",J818="Resale"),F818*0,AND(K818="Builder",J818="Resale"),F818*0.3,AND(J818="New",K818="Broker"),F818*0.1,AND(J818="New",K818="Owner"),F818*0,AND(J818="New",K818="Builder"),F818*0.5)</f>
        <v>3493396.5</v>
      </c>
    </row>
    <row r="819" spans="1:15" x14ac:dyDescent="0.3">
      <c r="A819" s="8" t="s">
        <v>881</v>
      </c>
      <c r="B819" s="4" t="s">
        <v>842</v>
      </c>
      <c r="C819" s="4" t="s">
        <v>843</v>
      </c>
      <c r="D819" s="4">
        <v>2</v>
      </c>
      <c r="E819" s="4">
        <v>1008</v>
      </c>
      <c r="F819" s="4">
        <v>6165082</v>
      </c>
      <c r="G819" s="4">
        <v>2</v>
      </c>
      <c r="H819" s="4">
        <v>2</v>
      </c>
      <c r="I819" s="4" t="s">
        <v>8</v>
      </c>
      <c r="J819" s="4" t="s">
        <v>19</v>
      </c>
      <c r="K819" s="4" t="s">
        <v>20</v>
      </c>
      <c r="L819" s="9">
        <v>45466</v>
      </c>
      <c r="M819" s="9" t="str">
        <f>TEXT(Source_data[[#This Row],[Listing_Date]],"mmm-yy")</f>
        <v>Jun-24</v>
      </c>
      <c r="N819" s="4">
        <f t="shared" si="12"/>
        <v>6116.1527777777774</v>
      </c>
      <c r="O819" s="3" cm="1">
        <f t="array" ref="O819">_xlfn.IFS(AND(K819="Broker",J819="Resale"),F819*0.5,AND(K819="Owner",J819="Resale"),F819*0,AND(K819="Builder",J819="Resale"),F819*0.3,AND(J819="New",K819="Broker"),F819*0.1,AND(J819="New",K819="Owner"),F819*0,AND(J819="New",K819="Builder"),F819*0.5)</f>
        <v>616508.20000000007</v>
      </c>
    </row>
    <row r="820" spans="1:15" x14ac:dyDescent="0.3">
      <c r="A820" s="8" t="s">
        <v>882</v>
      </c>
      <c r="B820" s="4" t="s">
        <v>842</v>
      </c>
      <c r="C820" s="4" t="s">
        <v>857</v>
      </c>
      <c r="D820" s="4">
        <v>3</v>
      </c>
      <c r="E820" s="4">
        <v>489</v>
      </c>
      <c r="F820" s="4">
        <v>3074941</v>
      </c>
      <c r="G820" s="4">
        <v>3</v>
      </c>
      <c r="H820" s="4">
        <v>1</v>
      </c>
      <c r="I820" s="4" t="s">
        <v>8</v>
      </c>
      <c r="J820" s="4" t="s">
        <v>19</v>
      </c>
      <c r="K820" s="4" t="s">
        <v>20</v>
      </c>
      <c r="L820" s="9">
        <v>45845</v>
      </c>
      <c r="M820" s="9" t="str">
        <f>TEXT(Source_data[[#This Row],[Listing_Date]],"mmm-yy")</f>
        <v>Jul-25</v>
      </c>
      <c r="N820" s="4">
        <f t="shared" si="12"/>
        <v>6288.2229038854803</v>
      </c>
      <c r="O820" s="3" cm="1">
        <f t="array" ref="O820">_xlfn.IFS(AND(K820="Broker",J820="Resale"),F820*0.5,AND(K820="Owner",J820="Resale"),F820*0,AND(K820="Builder",J820="Resale"),F820*0.3,AND(J820="New",K820="Broker"),F820*0.1,AND(J820="New",K820="Owner"),F820*0,AND(J820="New",K820="Builder"),F820*0.5)</f>
        <v>307494.10000000003</v>
      </c>
    </row>
    <row r="821" spans="1:15" x14ac:dyDescent="0.3">
      <c r="A821" s="8" t="s">
        <v>883</v>
      </c>
      <c r="B821" s="4" t="s">
        <v>842</v>
      </c>
      <c r="C821" s="4" t="s">
        <v>845</v>
      </c>
      <c r="D821" s="4">
        <v>3</v>
      </c>
      <c r="E821" s="4">
        <v>1597</v>
      </c>
      <c r="F821" s="4">
        <v>7261526</v>
      </c>
      <c r="G821" s="4">
        <v>3</v>
      </c>
      <c r="H821" s="4">
        <v>3</v>
      </c>
      <c r="I821" s="4" t="s">
        <v>8</v>
      </c>
      <c r="J821" s="4" t="s">
        <v>23</v>
      </c>
      <c r="K821" s="4" t="s">
        <v>36</v>
      </c>
      <c r="L821" s="9">
        <v>45306</v>
      </c>
      <c r="M821" s="9" t="str">
        <f>TEXT(Source_data[[#This Row],[Listing_Date]],"mmm-yy")</f>
        <v>Jan-24</v>
      </c>
      <c r="N821" s="4">
        <f t="shared" si="12"/>
        <v>4546.9793362554792</v>
      </c>
      <c r="O821" s="3" cm="1">
        <f t="array" ref="O821">_xlfn.IFS(AND(K821="Broker",J821="Resale"),F821*0.5,AND(K821="Owner",J821="Resale"),F821*0,AND(K821="Builder",J821="Resale"),F821*0.3,AND(J821="New",K821="Broker"),F821*0.1,AND(J821="New",K821="Owner"),F821*0,AND(J821="New",K821="Builder"),F821*0.5)</f>
        <v>0</v>
      </c>
    </row>
    <row r="822" spans="1:15" x14ac:dyDescent="0.3">
      <c r="A822" s="8" t="s">
        <v>884</v>
      </c>
      <c r="B822" s="4" t="s">
        <v>842</v>
      </c>
      <c r="C822" s="4" t="s">
        <v>845</v>
      </c>
      <c r="D822" s="4">
        <v>3</v>
      </c>
      <c r="E822" s="4">
        <v>588</v>
      </c>
      <c r="F822" s="4">
        <v>3142378</v>
      </c>
      <c r="G822" s="4">
        <v>3</v>
      </c>
      <c r="H822" s="4">
        <v>1</v>
      </c>
      <c r="I822" s="4" t="s">
        <v>27</v>
      </c>
      <c r="J822" s="4" t="s">
        <v>23</v>
      </c>
      <c r="K822" s="4" t="s">
        <v>20</v>
      </c>
      <c r="L822" s="9">
        <v>45033</v>
      </c>
      <c r="M822" s="9" t="str">
        <f>TEXT(Source_data[[#This Row],[Listing_Date]],"mmm-yy")</f>
        <v>Apr-23</v>
      </c>
      <c r="N822" s="4">
        <f t="shared" si="12"/>
        <v>5344.1802721088434</v>
      </c>
      <c r="O822" s="3" cm="1">
        <f t="array" ref="O822">_xlfn.IFS(AND(K822="Broker",J822="Resale"),F822*0.5,AND(K822="Owner",J822="Resale"),F822*0,AND(K822="Builder",J822="Resale"),F822*0.3,AND(J822="New",K822="Broker"),F822*0.1,AND(J822="New",K822="Owner"),F822*0,AND(J822="New",K822="Builder"),F822*0.5)</f>
        <v>1571189</v>
      </c>
    </row>
    <row r="823" spans="1:15" x14ac:dyDescent="0.3">
      <c r="A823" s="8" t="s">
        <v>885</v>
      </c>
      <c r="B823" s="4" t="s">
        <v>842</v>
      </c>
      <c r="C823" s="4" t="s">
        <v>17</v>
      </c>
      <c r="D823" s="4">
        <v>5</v>
      </c>
      <c r="E823" s="4">
        <v>1778</v>
      </c>
      <c r="F823" s="4">
        <v>13073340</v>
      </c>
      <c r="G823" s="4">
        <v>3</v>
      </c>
      <c r="H823" s="4">
        <v>0</v>
      </c>
      <c r="I823" s="4" t="s">
        <v>18</v>
      </c>
      <c r="J823" s="4" t="s">
        <v>19</v>
      </c>
      <c r="K823" s="4" t="s">
        <v>20</v>
      </c>
      <c r="L823" s="9">
        <v>45540</v>
      </c>
      <c r="M823" s="9" t="str">
        <f>TEXT(Source_data[[#This Row],[Listing_Date]],"mmm-yy")</f>
        <v>Sep-24</v>
      </c>
      <c r="N823" s="4">
        <f t="shared" si="12"/>
        <v>7352.8346456692916</v>
      </c>
      <c r="O823" s="3" cm="1">
        <f t="array" ref="O823">_xlfn.IFS(AND(K823="Broker",J823="Resale"),F823*0.5,AND(K823="Owner",J823="Resale"),F823*0,AND(K823="Builder",J823="Resale"),F823*0.3,AND(J823="New",K823="Broker"),F823*0.1,AND(J823="New",K823="Owner"),F823*0,AND(J823="New",K823="Builder"),F823*0.5)</f>
        <v>1307334</v>
      </c>
    </row>
    <row r="824" spans="1:15" x14ac:dyDescent="0.3">
      <c r="A824" s="8" t="s">
        <v>886</v>
      </c>
      <c r="B824" s="4" t="s">
        <v>842</v>
      </c>
      <c r="C824" s="4" t="s">
        <v>845</v>
      </c>
      <c r="D824" s="4">
        <v>2</v>
      </c>
      <c r="E824" s="4">
        <v>1691</v>
      </c>
      <c r="F824" s="4">
        <v>36629790</v>
      </c>
      <c r="G824" s="4">
        <v>1</v>
      </c>
      <c r="H824" s="4">
        <v>2</v>
      </c>
      <c r="I824" s="4" t="s">
        <v>8</v>
      </c>
      <c r="J824" s="4" t="s">
        <v>19</v>
      </c>
      <c r="K824" s="4" t="s">
        <v>24</v>
      </c>
      <c r="L824" s="9">
        <v>45592</v>
      </c>
      <c r="M824" s="9" t="str">
        <f>TEXT(Source_data[[#This Row],[Listing_Date]],"mmm-yy")</f>
        <v>Oct-24</v>
      </c>
      <c r="N824" s="4">
        <f t="shared" si="12"/>
        <v>21661.614429331756</v>
      </c>
      <c r="O824" s="3" cm="1">
        <f t="array" ref="O824">_xlfn.IFS(AND(K824="Broker",J824="Resale"),F824*0.5,AND(K824="Owner",J824="Resale"),F824*0,AND(K824="Builder",J824="Resale"),F824*0.3,AND(J824="New",K824="Broker"),F824*0.1,AND(J824="New",K824="Owner"),F824*0,AND(J824="New",K824="Builder"),F824*0.5)</f>
        <v>18314895</v>
      </c>
    </row>
    <row r="825" spans="1:15" x14ac:dyDescent="0.3">
      <c r="A825" s="8" t="s">
        <v>887</v>
      </c>
      <c r="B825" s="4" t="s">
        <v>842</v>
      </c>
      <c r="C825" s="4" t="s">
        <v>857</v>
      </c>
      <c r="D825" s="4">
        <v>3</v>
      </c>
      <c r="E825" s="4">
        <v>575</v>
      </c>
      <c r="F825" s="4">
        <v>3355259</v>
      </c>
      <c r="G825" s="4">
        <v>3</v>
      </c>
      <c r="H825" s="4">
        <v>1</v>
      </c>
      <c r="I825" s="4" t="s">
        <v>8</v>
      </c>
      <c r="J825" s="4" t="s">
        <v>19</v>
      </c>
      <c r="K825" s="4" t="s">
        <v>20</v>
      </c>
      <c r="L825" s="9">
        <v>45992</v>
      </c>
      <c r="M825" s="9" t="str">
        <f>TEXT(Source_data[[#This Row],[Listing_Date]],"mmm-yy")</f>
        <v>Dec-25</v>
      </c>
      <c r="N825" s="4">
        <f t="shared" si="12"/>
        <v>5835.2330434782607</v>
      </c>
      <c r="O825" s="3" cm="1">
        <f t="array" ref="O825">_xlfn.IFS(AND(K825="Broker",J825="Resale"),F825*0.5,AND(K825="Owner",J825="Resale"),F825*0,AND(K825="Builder",J825="Resale"),F825*0.3,AND(J825="New",K825="Broker"),F825*0.1,AND(J825="New",K825="Owner"),F825*0,AND(J825="New",K825="Builder"),F825*0.5)</f>
        <v>335525.90000000002</v>
      </c>
    </row>
    <row r="826" spans="1:15" x14ac:dyDescent="0.3">
      <c r="A826" s="8" t="s">
        <v>888</v>
      </c>
      <c r="B826" s="4" t="s">
        <v>842</v>
      </c>
      <c r="C826" s="4" t="s">
        <v>17</v>
      </c>
      <c r="D826" s="4">
        <v>2</v>
      </c>
      <c r="E826" s="4">
        <v>940</v>
      </c>
      <c r="F826" s="4">
        <v>5887584</v>
      </c>
      <c r="G826" s="4">
        <v>2</v>
      </c>
      <c r="H826" s="4">
        <v>1</v>
      </c>
      <c r="I826" s="4" t="s">
        <v>27</v>
      </c>
      <c r="J826" s="4" t="s">
        <v>19</v>
      </c>
      <c r="K826" s="4" t="s">
        <v>24</v>
      </c>
      <c r="L826" s="9">
        <v>45061</v>
      </c>
      <c r="M826" s="9" t="str">
        <f>TEXT(Source_data[[#This Row],[Listing_Date]],"mmm-yy")</f>
        <v>May-23</v>
      </c>
      <c r="N826" s="4">
        <f t="shared" si="12"/>
        <v>6263.3872340425532</v>
      </c>
      <c r="O826" s="3" cm="1">
        <f t="array" ref="O826">_xlfn.IFS(AND(K826="Broker",J826="Resale"),F826*0.5,AND(K826="Owner",J826="Resale"),F826*0,AND(K826="Builder",J826="Resale"),F826*0.3,AND(J826="New",K826="Broker"),F826*0.1,AND(J826="New",K826="Owner"),F826*0,AND(J826="New",K826="Builder"),F826*0.5)</f>
        <v>2943792</v>
      </c>
    </row>
    <row r="827" spans="1:15" x14ac:dyDescent="0.3">
      <c r="A827" s="8" t="s">
        <v>889</v>
      </c>
      <c r="B827" s="4" t="s">
        <v>842</v>
      </c>
      <c r="C827" s="4" t="s">
        <v>843</v>
      </c>
      <c r="D827" s="4">
        <v>3</v>
      </c>
      <c r="E827" s="4">
        <v>1080</v>
      </c>
      <c r="F827" s="4">
        <v>5118718</v>
      </c>
      <c r="G827" s="4">
        <v>2</v>
      </c>
      <c r="H827" s="4">
        <v>2</v>
      </c>
      <c r="I827" s="4" t="s">
        <v>8</v>
      </c>
      <c r="J827" s="4" t="s">
        <v>23</v>
      </c>
      <c r="K827" s="4" t="s">
        <v>20</v>
      </c>
      <c r="L827" s="9">
        <v>45867</v>
      </c>
      <c r="M827" s="9" t="str">
        <f>TEXT(Source_data[[#This Row],[Listing_Date]],"mmm-yy")</f>
        <v>Jul-25</v>
      </c>
      <c r="N827" s="4">
        <f t="shared" si="12"/>
        <v>4739.5537037037038</v>
      </c>
      <c r="O827" s="3" cm="1">
        <f t="array" ref="O827">_xlfn.IFS(AND(K827="Broker",J827="Resale"),F827*0.5,AND(K827="Owner",J827="Resale"),F827*0,AND(K827="Builder",J827="Resale"),F827*0.3,AND(J827="New",K827="Broker"),F827*0.1,AND(J827="New",K827="Owner"),F827*0,AND(J827="New",K827="Builder"),F827*0.5)</f>
        <v>2559359</v>
      </c>
    </row>
    <row r="828" spans="1:15" x14ac:dyDescent="0.3">
      <c r="A828" s="8" t="s">
        <v>890</v>
      </c>
      <c r="B828" s="4" t="s">
        <v>842</v>
      </c>
      <c r="C828" s="4" t="s">
        <v>843</v>
      </c>
      <c r="D828" s="4">
        <v>3</v>
      </c>
      <c r="E828" s="4">
        <v>1133</v>
      </c>
      <c r="F828" s="4">
        <v>6065289</v>
      </c>
      <c r="G828" s="4">
        <v>4</v>
      </c>
      <c r="H828" s="4">
        <v>1</v>
      </c>
      <c r="I828" s="4" t="s">
        <v>8</v>
      </c>
      <c r="J828" s="4" t="s">
        <v>23</v>
      </c>
      <c r="K828" s="4" t="s">
        <v>36</v>
      </c>
      <c r="L828" s="9">
        <v>45424</v>
      </c>
      <c r="M828" s="9" t="str">
        <f>TEXT(Source_data[[#This Row],[Listing_Date]],"mmm-yy")</f>
        <v>May-24</v>
      </c>
      <c r="N828" s="4">
        <f t="shared" si="12"/>
        <v>5353.3000882612532</v>
      </c>
      <c r="O828" s="3" cm="1">
        <f t="array" ref="O828">_xlfn.IFS(AND(K828="Broker",J828="Resale"),F828*0.5,AND(K828="Owner",J828="Resale"),F828*0,AND(K828="Builder",J828="Resale"),F828*0.3,AND(J828="New",K828="Broker"),F828*0.1,AND(J828="New",K828="Owner"),F828*0,AND(J828="New",K828="Builder"),F828*0.5)</f>
        <v>0</v>
      </c>
    </row>
    <row r="829" spans="1:15" x14ac:dyDescent="0.3">
      <c r="A829" s="8" t="s">
        <v>891</v>
      </c>
      <c r="B829" s="4" t="s">
        <v>842</v>
      </c>
      <c r="C829" s="4" t="s">
        <v>17</v>
      </c>
      <c r="D829" s="4">
        <v>4</v>
      </c>
      <c r="E829" s="4">
        <v>2121</v>
      </c>
      <c r="F829" s="4">
        <v>12712364</v>
      </c>
      <c r="G829" s="4">
        <v>2</v>
      </c>
      <c r="H829" s="4">
        <v>0</v>
      </c>
      <c r="I829" s="4" t="s">
        <v>27</v>
      </c>
      <c r="J829" s="4" t="s">
        <v>19</v>
      </c>
      <c r="K829" s="4" t="s">
        <v>24</v>
      </c>
      <c r="L829" s="9">
        <v>45566</v>
      </c>
      <c r="M829" s="9" t="str">
        <f>TEXT(Source_data[[#This Row],[Listing_Date]],"mmm-yy")</f>
        <v>Oct-24</v>
      </c>
      <c r="N829" s="4">
        <f t="shared" si="12"/>
        <v>5993.5709570957097</v>
      </c>
      <c r="O829" s="3" cm="1">
        <f t="array" ref="O829">_xlfn.IFS(AND(K829="Broker",J829="Resale"),F829*0.5,AND(K829="Owner",J829="Resale"),F829*0,AND(K829="Builder",J829="Resale"),F829*0.3,AND(J829="New",K829="Broker"),F829*0.1,AND(J829="New",K829="Owner"),F829*0,AND(J829="New",K829="Builder"),F829*0.5)</f>
        <v>6356182</v>
      </c>
    </row>
    <row r="830" spans="1:15" x14ac:dyDescent="0.3">
      <c r="A830" s="8" t="s">
        <v>892</v>
      </c>
      <c r="B830" s="4" t="s">
        <v>842</v>
      </c>
      <c r="C830" s="4" t="s">
        <v>843</v>
      </c>
      <c r="D830" s="4">
        <v>4</v>
      </c>
      <c r="E830" s="4">
        <v>2827</v>
      </c>
      <c r="F830" s="4">
        <v>14720523</v>
      </c>
      <c r="G830" s="4">
        <v>3</v>
      </c>
      <c r="H830" s="4">
        <v>0</v>
      </c>
      <c r="I830" s="4" t="s">
        <v>8</v>
      </c>
      <c r="J830" s="4" t="s">
        <v>19</v>
      </c>
      <c r="K830" s="4" t="s">
        <v>36</v>
      </c>
      <c r="L830" s="9">
        <v>45122</v>
      </c>
      <c r="M830" s="9" t="str">
        <f>TEXT(Source_data[[#This Row],[Listing_Date]],"mmm-yy")</f>
        <v>Jul-23</v>
      </c>
      <c r="N830" s="4">
        <f t="shared" si="12"/>
        <v>5207.1181464449946</v>
      </c>
      <c r="O830" s="3" cm="1">
        <f t="array" ref="O830">_xlfn.IFS(AND(K830="Broker",J830="Resale"),F830*0.5,AND(K830="Owner",J830="Resale"),F830*0,AND(K830="Builder",J830="Resale"),F830*0.3,AND(J830="New",K830="Broker"),F830*0.1,AND(J830="New",K830="Owner"),F830*0,AND(J830="New",K830="Builder"),F830*0.5)</f>
        <v>0</v>
      </c>
    </row>
    <row r="831" spans="1:15" x14ac:dyDescent="0.3">
      <c r="A831" s="8" t="s">
        <v>893</v>
      </c>
      <c r="B831" s="4" t="s">
        <v>842</v>
      </c>
      <c r="C831" s="4" t="s">
        <v>843</v>
      </c>
      <c r="D831" s="4">
        <v>3</v>
      </c>
      <c r="E831" s="4">
        <v>1313</v>
      </c>
      <c r="F831" s="4">
        <v>17832874</v>
      </c>
      <c r="G831" s="4">
        <v>3</v>
      </c>
      <c r="H831" s="4">
        <v>4</v>
      </c>
      <c r="I831" s="4" t="s">
        <v>8</v>
      </c>
      <c r="J831" s="4" t="s">
        <v>19</v>
      </c>
      <c r="K831" s="4" t="s">
        <v>20</v>
      </c>
      <c r="L831" s="9">
        <v>45889</v>
      </c>
      <c r="M831" s="9" t="str">
        <f>TEXT(Source_data[[#This Row],[Listing_Date]],"mmm-yy")</f>
        <v>Aug-25</v>
      </c>
      <c r="N831" s="4">
        <f t="shared" si="12"/>
        <v>13581.777608530083</v>
      </c>
      <c r="O831" s="3" cm="1">
        <f t="array" ref="O831">_xlfn.IFS(AND(K831="Broker",J831="Resale"),F831*0.5,AND(K831="Owner",J831="Resale"),F831*0,AND(K831="Builder",J831="Resale"),F831*0.3,AND(J831="New",K831="Broker"),F831*0.1,AND(J831="New",K831="Owner"),F831*0,AND(J831="New",K831="Builder"),F831*0.5)</f>
        <v>1783287.4000000001</v>
      </c>
    </row>
    <row r="832" spans="1:15" x14ac:dyDescent="0.3">
      <c r="A832" s="8" t="s">
        <v>894</v>
      </c>
      <c r="B832" s="4" t="s">
        <v>842</v>
      </c>
      <c r="C832" s="4" t="s">
        <v>17</v>
      </c>
      <c r="D832" s="4">
        <v>4</v>
      </c>
      <c r="E832" s="4">
        <v>1619</v>
      </c>
      <c r="F832" s="4">
        <v>10528626</v>
      </c>
      <c r="G832" s="4">
        <v>3</v>
      </c>
      <c r="H832" s="4">
        <v>0</v>
      </c>
      <c r="I832" s="4" t="s">
        <v>8</v>
      </c>
      <c r="J832" s="4" t="s">
        <v>19</v>
      </c>
      <c r="K832" s="4" t="s">
        <v>36</v>
      </c>
      <c r="L832" s="9">
        <v>45553</v>
      </c>
      <c r="M832" s="9" t="str">
        <f>TEXT(Source_data[[#This Row],[Listing_Date]],"mmm-yy")</f>
        <v>Sep-24</v>
      </c>
      <c r="N832" s="4">
        <f t="shared" si="12"/>
        <v>6503.1661519456457</v>
      </c>
      <c r="O832" s="3" cm="1">
        <f t="array" ref="O832">_xlfn.IFS(AND(K832="Broker",J832="Resale"),F832*0.5,AND(K832="Owner",J832="Resale"),F832*0,AND(K832="Builder",J832="Resale"),F832*0.3,AND(J832="New",K832="Broker"),F832*0.1,AND(J832="New",K832="Owner"),F832*0,AND(J832="New",K832="Builder"),F832*0.5)</f>
        <v>0</v>
      </c>
    </row>
    <row r="833" spans="1:15" x14ac:dyDescent="0.3">
      <c r="A833" s="8" t="s">
        <v>895</v>
      </c>
      <c r="B833" s="4" t="s">
        <v>842</v>
      </c>
      <c r="C833" s="4" t="s">
        <v>17</v>
      </c>
      <c r="D833" s="4">
        <v>3</v>
      </c>
      <c r="E833" s="4">
        <v>1361</v>
      </c>
      <c r="F833" s="4">
        <v>6275870</v>
      </c>
      <c r="G833" s="4">
        <v>3</v>
      </c>
      <c r="H833" s="4">
        <v>2</v>
      </c>
      <c r="I833" s="4" t="s">
        <v>8</v>
      </c>
      <c r="J833" s="4" t="s">
        <v>19</v>
      </c>
      <c r="K833" s="4" t="s">
        <v>36</v>
      </c>
      <c r="L833" s="9">
        <v>45079</v>
      </c>
      <c r="M833" s="9" t="str">
        <f>TEXT(Source_data[[#This Row],[Listing_Date]],"mmm-yy")</f>
        <v>Jun-23</v>
      </c>
      <c r="N833" s="4">
        <f t="shared" si="12"/>
        <v>4611.2196914033802</v>
      </c>
      <c r="O833" s="3" cm="1">
        <f t="array" ref="O833">_xlfn.IFS(AND(K833="Broker",J833="Resale"),F833*0.5,AND(K833="Owner",J833="Resale"),F833*0,AND(K833="Builder",J833="Resale"),F833*0.3,AND(J833="New",K833="Broker"),F833*0.1,AND(J833="New",K833="Owner"),F833*0,AND(J833="New",K833="Builder"),F833*0.5)</f>
        <v>0</v>
      </c>
    </row>
    <row r="834" spans="1:15" x14ac:dyDescent="0.3">
      <c r="A834" s="8" t="s">
        <v>896</v>
      </c>
      <c r="B834" s="4" t="s">
        <v>842</v>
      </c>
      <c r="C834" s="4" t="s">
        <v>857</v>
      </c>
      <c r="D834" s="4">
        <v>1</v>
      </c>
      <c r="E834" s="4">
        <v>556</v>
      </c>
      <c r="F834" s="4">
        <v>2878653</v>
      </c>
      <c r="G834" s="4">
        <v>1</v>
      </c>
      <c r="H834" s="4">
        <v>2</v>
      </c>
      <c r="I834" s="4" t="s">
        <v>8</v>
      </c>
      <c r="J834" s="4" t="s">
        <v>23</v>
      </c>
      <c r="K834" s="4" t="s">
        <v>20</v>
      </c>
      <c r="L834" s="9">
        <v>45857</v>
      </c>
      <c r="M834" s="9" t="str">
        <f>TEXT(Source_data[[#This Row],[Listing_Date]],"mmm-yy")</f>
        <v>Jul-25</v>
      </c>
      <c r="N834" s="4">
        <f t="shared" si="12"/>
        <v>5177.4334532374105</v>
      </c>
      <c r="O834" s="3" cm="1">
        <f t="array" ref="O834">_xlfn.IFS(AND(K834="Broker",J834="Resale"),F834*0.5,AND(K834="Owner",J834="Resale"),F834*0,AND(K834="Builder",J834="Resale"),F834*0.3,AND(J834="New",K834="Broker"),F834*0.1,AND(J834="New",K834="Owner"),F834*0,AND(J834="New",K834="Builder"),F834*0.5)</f>
        <v>1439326.5</v>
      </c>
    </row>
    <row r="835" spans="1:15" x14ac:dyDescent="0.3">
      <c r="A835" s="8" t="s">
        <v>897</v>
      </c>
      <c r="B835" s="4" t="s">
        <v>842</v>
      </c>
      <c r="C835" s="4" t="s">
        <v>864</v>
      </c>
      <c r="D835" s="4">
        <v>2</v>
      </c>
      <c r="E835" s="4">
        <v>869</v>
      </c>
      <c r="F835" s="4">
        <v>4431050</v>
      </c>
      <c r="G835" s="4">
        <v>2</v>
      </c>
      <c r="H835" s="4">
        <v>1</v>
      </c>
      <c r="I835" s="4" t="s">
        <v>18</v>
      </c>
      <c r="J835" s="4" t="s">
        <v>19</v>
      </c>
      <c r="K835" s="4" t="s">
        <v>36</v>
      </c>
      <c r="L835" s="9">
        <v>45728</v>
      </c>
      <c r="M835" s="9" t="str">
        <f>TEXT(Source_data[[#This Row],[Listing_Date]],"mmm-yy")</f>
        <v>Mar-25</v>
      </c>
      <c r="N835" s="4">
        <f t="shared" ref="N835:N898" si="13">F835/E835</f>
        <v>5099.0218642117379</v>
      </c>
      <c r="O835" s="3" cm="1">
        <f t="array" ref="O835">_xlfn.IFS(AND(K835="Broker",J835="Resale"),F835*0.5,AND(K835="Owner",J835="Resale"),F835*0,AND(K835="Builder",J835="Resale"),F835*0.3,AND(J835="New",K835="Broker"),F835*0.1,AND(J835="New",K835="Owner"),F835*0,AND(J835="New",K835="Builder"),F835*0.5)</f>
        <v>0</v>
      </c>
    </row>
    <row r="836" spans="1:15" x14ac:dyDescent="0.3">
      <c r="A836" s="8" t="s">
        <v>898</v>
      </c>
      <c r="B836" s="4" t="s">
        <v>842</v>
      </c>
      <c r="C836" s="4" t="s">
        <v>857</v>
      </c>
      <c r="D836" s="4">
        <v>3</v>
      </c>
      <c r="E836" s="4">
        <v>913</v>
      </c>
      <c r="F836" s="4">
        <v>5055887</v>
      </c>
      <c r="G836" s="4">
        <v>4</v>
      </c>
      <c r="H836" s="4">
        <v>2</v>
      </c>
      <c r="I836" s="4" t="s">
        <v>27</v>
      </c>
      <c r="J836" s="4" t="s">
        <v>19</v>
      </c>
      <c r="K836" s="4" t="s">
        <v>36</v>
      </c>
      <c r="L836" s="9">
        <v>45852</v>
      </c>
      <c r="M836" s="9" t="str">
        <f>TEXT(Source_data[[#This Row],[Listing_Date]],"mmm-yy")</f>
        <v>Jul-25</v>
      </c>
      <c r="N836" s="4">
        <f t="shared" si="13"/>
        <v>5537.6637458926616</v>
      </c>
      <c r="O836" s="3" cm="1">
        <f t="array" ref="O836">_xlfn.IFS(AND(K836="Broker",J836="Resale"),F836*0.5,AND(K836="Owner",J836="Resale"),F836*0,AND(K836="Builder",J836="Resale"),F836*0.3,AND(J836="New",K836="Broker"),F836*0.1,AND(J836="New",K836="Owner"),F836*0,AND(J836="New",K836="Builder"),F836*0.5)</f>
        <v>0</v>
      </c>
    </row>
    <row r="837" spans="1:15" x14ac:dyDescent="0.3">
      <c r="A837" s="8" t="s">
        <v>899</v>
      </c>
      <c r="B837" s="4" t="s">
        <v>842</v>
      </c>
      <c r="C837" s="4" t="s">
        <v>864</v>
      </c>
      <c r="D837" s="4">
        <v>3</v>
      </c>
      <c r="E837" s="4">
        <v>1685</v>
      </c>
      <c r="F837" s="4">
        <v>9890720</v>
      </c>
      <c r="G837" s="4">
        <v>2</v>
      </c>
      <c r="H837" s="4">
        <v>2</v>
      </c>
      <c r="I837" s="4" t="s">
        <v>8</v>
      </c>
      <c r="J837" s="4" t="s">
        <v>19</v>
      </c>
      <c r="K837" s="4" t="s">
        <v>24</v>
      </c>
      <c r="L837" s="9">
        <v>45812</v>
      </c>
      <c r="M837" s="9" t="str">
        <f>TEXT(Source_data[[#This Row],[Listing_Date]],"mmm-yy")</f>
        <v>Jun-25</v>
      </c>
      <c r="N837" s="4">
        <f t="shared" si="13"/>
        <v>5869.8635014836791</v>
      </c>
      <c r="O837" s="3" cm="1">
        <f t="array" ref="O837">_xlfn.IFS(AND(K837="Broker",J837="Resale"),F837*0.5,AND(K837="Owner",J837="Resale"),F837*0,AND(K837="Builder",J837="Resale"),F837*0.3,AND(J837="New",K837="Broker"),F837*0.1,AND(J837="New",K837="Owner"),F837*0,AND(J837="New",K837="Builder"),F837*0.5)</f>
        <v>4945360</v>
      </c>
    </row>
    <row r="838" spans="1:15" x14ac:dyDescent="0.3">
      <c r="A838" s="8" t="s">
        <v>900</v>
      </c>
      <c r="B838" s="4" t="s">
        <v>842</v>
      </c>
      <c r="C838" s="4" t="s">
        <v>17</v>
      </c>
      <c r="D838" s="4">
        <v>3</v>
      </c>
      <c r="E838" s="4">
        <v>1609</v>
      </c>
      <c r="F838" s="4">
        <v>8323374</v>
      </c>
      <c r="G838" s="4">
        <v>4</v>
      </c>
      <c r="H838" s="4">
        <v>1</v>
      </c>
      <c r="I838" s="4" t="s">
        <v>8</v>
      </c>
      <c r="J838" s="4" t="s">
        <v>23</v>
      </c>
      <c r="K838" s="4" t="s">
        <v>24</v>
      </c>
      <c r="L838" s="9">
        <v>45623</v>
      </c>
      <c r="M838" s="9" t="str">
        <f>TEXT(Source_data[[#This Row],[Listing_Date]],"mmm-yy")</f>
        <v>Nov-24</v>
      </c>
      <c r="N838" s="4">
        <f t="shared" si="13"/>
        <v>5173.0105655686766</v>
      </c>
      <c r="O838" s="3" cm="1">
        <f t="array" ref="O838">_xlfn.IFS(AND(K838="Broker",J838="Resale"),F838*0.5,AND(K838="Owner",J838="Resale"),F838*0,AND(K838="Builder",J838="Resale"),F838*0.3,AND(J838="New",K838="Broker"),F838*0.1,AND(J838="New",K838="Owner"),F838*0,AND(J838="New",K838="Builder"),F838*0.5)</f>
        <v>2497012.1999999997</v>
      </c>
    </row>
    <row r="839" spans="1:15" x14ac:dyDescent="0.3">
      <c r="A839" s="8" t="s">
        <v>901</v>
      </c>
      <c r="B839" s="4" t="s">
        <v>842</v>
      </c>
      <c r="C839" s="4" t="s">
        <v>864</v>
      </c>
      <c r="D839" s="4">
        <v>3</v>
      </c>
      <c r="E839" s="4">
        <v>901</v>
      </c>
      <c r="F839" s="4">
        <v>4922315</v>
      </c>
      <c r="G839" s="4">
        <v>3</v>
      </c>
      <c r="H839" s="4">
        <v>0</v>
      </c>
      <c r="I839" s="4" t="s">
        <v>8</v>
      </c>
      <c r="J839" s="4" t="s">
        <v>19</v>
      </c>
      <c r="K839" s="4" t="s">
        <v>36</v>
      </c>
      <c r="L839" s="9">
        <v>45342</v>
      </c>
      <c r="M839" s="9" t="str">
        <f>TEXT(Source_data[[#This Row],[Listing_Date]],"mmm-yy")</f>
        <v>Feb-24</v>
      </c>
      <c r="N839" s="4">
        <f t="shared" si="13"/>
        <v>5463.1687014428417</v>
      </c>
      <c r="O839" s="3" cm="1">
        <f t="array" ref="O839">_xlfn.IFS(AND(K839="Broker",J839="Resale"),F839*0.5,AND(K839="Owner",J839="Resale"),F839*0,AND(K839="Builder",J839="Resale"),F839*0.3,AND(J839="New",K839="Broker"),F839*0.1,AND(J839="New",K839="Owner"),F839*0,AND(J839="New",K839="Builder"),F839*0.5)</f>
        <v>0</v>
      </c>
    </row>
    <row r="840" spans="1:15" x14ac:dyDescent="0.3">
      <c r="A840" s="8" t="s">
        <v>902</v>
      </c>
      <c r="B840" s="4" t="s">
        <v>842</v>
      </c>
      <c r="C840" s="4" t="s">
        <v>843</v>
      </c>
      <c r="D840" s="4">
        <v>2</v>
      </c>
      <c r="E840" s="4">
        <v>821</v>
      </c>
      <c r="F840" s="4">
        <v>4675340</v>
      </c>
      <c r="G840" s="4">
        <v>2</v>
      </c>
      <c r="H840" s="4">
        <v>2</v>
      </c>
      <c r="I840" s="4" t="s">
        <v>8</v>
      </c>
      <c r="J840" s="4" t="s">
        <v>23</v>
      </c>
      <c r="K840" s="4" t="s">
        <v>36</v>
      </c>
      <c r="L840" s="9">
        <v>45118</v>
      </c>
      <c r="M840" s="9" t="str">
        <f>TEXT(Source_data[[#This Row],[Listing_Date]],"mmm-yy")</f>
        <v>Jul-23</v>
      </c>
      <c r="N840" s="4">
        <f t="shared" si="13"/>
        <v>5694.6894031668699</v>
      </c>
      <c r="O840" s="3" cm="1">
        <f t="array" ref="O840">_xlfn.IFS(AND(K840="Broker",J840="Resale"),F840*0.5,AND(K840="Owner",J840="Resale"),F840*0,AND(K840="Builder",J840="Resale"),F840*0.3,AND(J840="New",K840="Broker"),F840*0.1,AND(J840="New",K840="Owner"),F840*0,AND(J840="New",K840="Builder"),F840*0.5)</f>
        <v>0</v>
      </c>
    </row>
    <row r="841" spans="1:15" x14ac:dyDescent="0.3">
      <c r="A841" s="8" t="s">
        <v>903</v>
      </c>
      <c r="B841" s="4" t="s">
        <v>842</v>
      </c>
      <c r="C841" s="4" t="s">
        <v>847</v>
      </c>
      <c r="D841" s="4">
        <v>4</v>
      </c>
      <c r="E841" s="4">
        <v>1903</v>
      </c>
      <c r="F841" s="4">
        <v>9079246</v>
      </c>
      <c r="G841" s="4">
        <v>3</v>
      </c>
      <c r="H841" s="4">
        <v>2</v>
      </c>
      <c r="I841" s="4" t="s">
        <v>18</v>
      </c>
      <c r="J841" s="4" t="s">
        <v>19</v>
      </c>
      <c r="K841" s="4" t="s">
        <v>36</v>
      </c>
      <c r="L841" s="9">
        <v>45359</v>
      </c>
      <c r="M841" s="9" t="str">
        <f>TEXT(Source_data[[#This Row],[Listing_Date]],"mmm-yy")</f>
        <v>Mar-24</v>
      </c>
      <c r="N841" s="4">
        <f t="shared" si="13"/>
        <v>4771.0173410404623</v>
      </c>
      <c r="O841" s="3" cm="1">
        <f t="array" ref="O841">_xlfn.IFS(AND(K841="Broker",J841="Resale"),F841*0.5,AND(K841="Owner",J841="Resale"),F841*0,AND(K841="Builder",J841="Resale"),F841*0.3,AND(J841="New",K841="Broker"),F841*0.1,AND(J841="New",K841="Owner"),F841*0,AND(J841="New",K841="Builder"),F841*0.5)</f>
        <v>0</v>
      </c>
    </row>
    <row r="842" spans="1:15" x14ac:dyDescent="0.3">
      <c r="A842" s="8" t="s">
        <v>904</v>
      </c>
      <c r="B842" s="4" t="s">
        <v>842</v>
      </c>
      <c r="C842" s="4" t="s">
        <v>845</v>
      </c>
      <c r="D842" s="4">
        <v>3</v>
      </c>
      <c r="E842" s="4">
        <v>1912</v>
      </c>
      <c r="F842" s="4">
        <v>12803028</v>
      </c>
      <c r="G842" s="4">
        <v>3</v>
      </c>
      <c r="H842" s="4">
        <v>2</v>
      </c>
      <c r="I842" s="4" t="s">
        <v>18</v>
      </c>
      <c r="J842" s="4" t="s">
        <v>23</v>
      </c>
      <c r="K842" s="4" t="s">
        <v>24</v>
      </c>
      <c r="L842" s="9">
        <v>45177</v>
      </c>
      <c r="M842" s="9" t="str">
        <f>TEXT(Source_data[[#This Row],[Listing_Date]],"mmm-yy")</f>
        <v>Sep-23</v>
      </c>
      <c r="N842" s="4">
        <f t="shared" si="13"/>
        <v>6696.1443514644352</v>
      </c>
      <c r="O842" s="3" cm="1">
        <f t="array" ref="O842">_xlfn.IFS(AND(K842="Broker",J842="Resale"),F842*0.5,AND(K842="Owner",J842="Resale"),F842*0,AND(K842="Builder",J842="Resale"),F842*0.3,AND(J842="New",K842="Broker"),F842*0.1,AND(J842="New",K842="Owner"),F842*0,AND(J842="New",K842="Builder"),F842*0.5)</f>
        <v>3840908.4</v>
      </c>
    </row>
    <row r="843" spans="1:15" x14ac:dyDescent="0.3">
      <c r="A843" s="8" t="s">
        <v>905</v>
      </c>
      <c r="B843" s="4" t="s">
        <v>842</v>
      </c>
      <c r="C843" s="4" t="s">
        <v>857</v>
      </c>
      <c r="D843" s="4">
        <v>2</v>
      </c>
      <c r="E843" s="4">
        <v>1050</v>
      </c>
      <c r="F843" s="4">
        <v>9156818</v>
      </c>
      <c r="G843" s="4">
        <v>2</v>
      </c>
      <c r="H843" s="4">
        <v>1</v>
      </c>
      <c r="I843" s="4" t="s">
        <v>27</v>
      </c>
      <c r="J843" s="4" t="s">
        <v>19</v>
      </c>
      <c r="K843" s="4" t="s">
        <v>20</v>
      </c>
      <c r="L843" s="9">
        <v>45617</v>
      </c>
      <c r="M843" s="9" t="str">
        <f>TEXT(Source_data[[#This Row],[Listing_Date]],"mmm-yy")</f>
        <v>Nov-24</v>
      </c>
      <c r="N843" s="4">
        <f t="shared" si="13"/>
        <v>8720.7790476190476</v>
      </c>
      <c r="O843" s="3" cm="1">
        <f t="array" ref="O843">_xlfn.IFS(AND(K843="Broker",J843="Resale"),F843*0.5,AND(K843="Owner",J843="Resale"),F843*0,AND(K843="Builder",J843="Resale"),F843*0.3,AND(J843="New",K843="Broker"),F843*0.1,AND(J843="New",K843="Owner"),F843*0,AND(J843="New",K843="Builder"),F843*0.5)</f>
        <v>915681.8</v>
      </c>
    </row>
    <row r="844" spans="1:15" x14ac:dyDescent="0.3">
      <c r="A844" s="8" t="s">
        <v>906</v>
      </c>
      <c r="B844" s="4" t="s">
        <v>842</v>
      </c>
      <c r="C844" s="4" t="s">
        <v>843</v>
      </c>
      <c r="D844" s="4">
        <v>4</v>
      </c>
      <c r="E844" s="4">
        <v>2487</v>
      </c>
      <c r="F844" s="4">
        <v>13174529</v>
      </c>
      <c r="G844" s="4">
        <v>4</v>
      </c>
      <c r="H844" s="4">
        <v>2</v>
      </c>
      <c r="I844" s="4" t="s">
        <v>8</v>
      </c>
      <c r="J844" s="4" t="s">
        <v>19</v>
      </c>
      <c r="K844" s="4" t="s">
        <v>36</v>
      </c>
      <c r="L844" s="9">
        <v>44958</v>
      </c>
      <c r="M844" s="9" t="str">
        <f>TEXT(Source_data[[#This Row],[Listing_Date]],"mmm-yy")</f>
        <v>Feb-23</v>
      </c>
      <c r="N844" s="4">
        <f t="shared" si="13"/>
        <v>5297.3578608765583</v>
      </c>
      <c r="O844" s="3" cm="1">
        <f t="array" ref="O844">_xlfn.IFS(AND(K844="Broker",J844="Resale"),F844*0.5,AND(K844="Owner",J844="Resale"),F844*0,AND(K844="Builder",J844="Resale"),F844*0.3,AND(J844="New",K844="Broker"),F844*0.1,AND(J844="New",K844="Owner"),F844*0,AND(J844="New",K844="Builder"),F844*0.5)</f>
        <v>0</v>
      </c>
    </row>
    <row r="845" spans="1:15" x14ac:dyDescent="0.3">
      <c r="A845" s="8" t="s">
        <v>907</v>
      </c>
      <c r="B845" s="4" t="s">
        <v>842</v>
      </c>
      <c r="C845" s="4" t="s">
        <v>864</v>
      </c>
      <c r="D845" s="4">
        <v>1</v>
      </c>
      <c r="E845" s="4">
        <v>350</v>
      </c>
      <c r="F845" s="4">
        <v>1956330</v>
      </c>
      <c r="G845" s="4">
        <v>1</v>
      </c>
      <c r="H845" s="4">
        <v>2</v>
      </c>
      <c r="I845" s="4" t="s">
        <v>27</v>
      </c>
      <c r="J845" s="4" t="s">
        <v>23</v>
      </c>
      <c r="K845" s="4" t="s">
        <v>36</v>
      </c>
      <c r="L845" s="9">
        <v>45483</v>
      </c>
      <c r="M845" s="9" t="str">
        <f>TEXT(Source_data[[#This Row],[Listing_Date]],"mmm-yy")</f>
        <v>Jul-24</v>
      </c>
      <c r="N845" s="4">
        <f t="shared" si="13"/>
        <v>5589.5142857142855</v>
      </c>
      <c r="O845" s="3" cm="1">
        <f t="array" ref="O845">_xlfn.IFS(AND(K845="Broker",J845="Resale"),F845*0.5,AND(K845="Owner",J845="Resale"),F845*0,AND(K845="Builder",J845="Resale"),F845*0.3,AND(J845="New",K845="Broker"),F845*0.1,AND(J845="New",K845="Owner"),F845*0,AND(J845="New",K845="Builder"),F845*0.5)</f>
        <v>0</v>
      </c>
    </row>
    <row r="846" spans="1:15" x14ac:dyDescent="0.3">
      <c r="A846" s="8" t="s">
        <v>908</v>
      </c>
      <c r="B846" s="4" t="s">
        <v>842</v>
      </c>
      <c r="C846" s="4" t="s">
        <v>845</v>
      </c>
      <c r="D846" s="4">
        <v>5</v>
      </c>
      <c r="E846" s="4">
        <v>2449</v>
      </c>
      <c r="F846" s="4">
        <v>15733899</v>
      </c>
      <c r="G846" s="4">
        <v>4</v>
      </c>
      <c r="H846" s="4">
        <v>2</v>
      </c>
      <c r="I846" s="4" t="s">
        <v>27</v>
      </c>
      <c r="J846" s="4" t="s">
        <v>23</v>
      </c>
      <c r="K846" s="4" t="s">
        <v>20</v>
      </c>
      <c r="L846" s="9">
        <v>45319</v>
      </c>
      <c r="M846" s="9" t="str">
        <f>TEXT(Source_data[[#This Row],[Listing_Date]],"mmm-yy")</f>
        <v>Jan-24</v>
      </c>
      <c r="N846" s="4">
        <f t="shared" si="13"/>
        <v>6424.6218864842795</v>
      </c>
      <c r="O846" s="3" cm="1">
        <f t="array" ref="O846">_xlfn.IFS(AND(K846="Broker",J846="Resale"),F846*0.5,AND(K846="Owner",J846="Resale"),F846*0,AND(K846="Builder",J846="Resale"),F846*0.3,AND(J846="New",K846="Broker"),F846*0.1,AND(J846="New",K846="Owner"),F846*0,AND(J846="New",K846="Builder"),F846*0.5)</f>
        <v>7866949.5</v>
      </c>
    </row>
    <row r="847" spans="1:15" x14ac:dyDescent="0.3">
      <c r="A847" s="8" t="s">
        <v>909</v>
      </c>
      <c r="B847" s="4" t="s">
        <v>842</v>
      </c>
      <c r="C847" s="4" t="s">
        <v>845</v>
      </c>
      <c r="D847" s="4">
        <v>2</v>
      </c>
      <c r="E847" s="4">
        <v>519</v>
      </c>
      <c r="F847" s="4">
        <v>3253258</v>
      </c>
      <c r="G847" s="4">
        <v>3</v>
      </c>
      <c r="H847" s="4">
        <v>1</v>
      </c>
      <c r="I847" s="4" t="s">
        <v>8</v>
      </c>
      <c r="J847" s="4" t="s">
        <v>23</v>
      </c>
      <c r="K847" s="4" t="s">
        <v>20</v>
      </c>
      <c r="L847" s="9">
        <v>45001</v>
      </c>
      <c r="M847" s="9" t="str">
        <f>TEXT(Source_data[[#This Row],[Listing_Date]],"mmm-yy")</f>
        <v>Mar-23</v>
      </c>
      <c r="N847" s="4">
        <f t="shared" si="13"/>
        <v>6268.3198458574179</v>
      </c>
      <c r="O847" s="3" cm="1">
        <f t="array" ref="O847">_xlfn.IFS(AND(K847="Broker",J847="Resale"),F847*0.5,AND(K847="Owner",J847="Resale"),F847*0,AND(K847="Builder",J847="Resale"),F847*0.3,AND(J847="New",K847="Broker"),F847*0.1,AND(J847="New",K847="Owner"),F847*0,AND(J847="New",K847="Builder"),F847*0.5)</f>
        <v>1626629</v>
      </c>
    </row>
    <row r="848" spans="1:15" x14ac:dyDescent="0.3">
      <c r="A848" s="8" t="s">
        <v>910</v>
      </c>
      <c r="B848" s="4" t="s">
        <v>842</v>
      </c>
      <c r="C848" s="4" t="s">
        <v>843</v>
      </c>
      <c r="D848" s="4">
        <v>4</v>
      </c>
      <c r="E848" s="4">
        <v>2045</v>
      </c>
      <c r="F848" s="4">
        <v>13144845</v>
      </c>
      <c r="G848" s="4">
        <v>4</v>
      </c>
      <c r="H848" s="4">
        <v>0</v>
      </c>
      <c r="I848" s="4" t="s">
        <v>18</v>
      </c>
      <c r="J848" s="4" t="s">
        <v>19</v>
      </c>
      <c r="K848" s="4" t="s">
        <v>36</v>
      </c>
      <c r="L848" s="9">
        <v>45787</v>
      </c>
      <c r="M848" s="9" t="str">
        <f>TEXT(Source_data[[#This Row],[Listing_Date]],"mmm-yy")</f>
        <v>May-25</v>
      </c>
      <c r="N848" s="4">
        <f t="shared" si="13"/>
        <v>6427.7970660146702</v>
      </c>
      <c r="O848" s="3" cm="1">
        <f t="array" ref="O848">_xlfn.IFS(AND(K848="Broker",J848="Resale"),F848*0.5,AND(K848="Owner",J848="Resale"),F848*0,AND(K848="Builder",J848="Resale"),F848*0.3,AND(J848="New",K848="Broker"),F848*0.1,AND(J848="New",K848="Owner"),F848*0,AND(J848="New",K848="Builder"),F848*0.5)</f>
        <v>0</v>
      </c>
    </row>
    <row r="849" spans="1:15" x14ac:dyDescent="0.3">
      <c r="A849" s="8" t="s">
        <v>911</v>
      </c>
      <c r="B849" s="4" t="s">
        <v>842</v>
      </c>
      <c r="C849" s="4" t="s">
        <v>857</v>
      </c>
      <c r="D849" s="4">
        <v>4</v>
      </c>
      <c r="E849" s="4">
        <v>1876</v>
      </c>
      <c r="F849" s="4">
        <v>10860556</v>
      </c>
      <c r="G849" s="4">
        <v>3</v>
      </c>
      <c r="H849" s="4">
        <v>0</v>
      </c>
      <c r="I849" s="4" t="s">
        <v>18</v>
      </c>
      <c r="J849" s="4" t="s">
        <v>23</v>
      </c>
      <c r="K849" s="4" t="s">
        <v>36</v>
      </c>
      <c r="L849" s="9">
        <v>45877</v>
      </c>
      <c r="M849" s="9" t="str">
        <f>TEXT(Source_data[[#This Row],[Listing_Date]],"mmm-yy")</f>
        <v>Aug-25</v>
      </c>
      <c r="N849" s="4">
        <f t="shared" si="13"/>
        <v>5789.2089552238804</v>
      </c>
      <c r="O849" s="3" cm="1">
        <f t="array" ref="O849">_xlfn.IFS(AND(K849="Broker",J849="Resale"),F849*0.5,AND(K849="Owner",J849="Resale"),F849*0,AND(K849="Builder",J849="Resale"),F849*0.3,AND(J849="New",K849="Broker"),F849*0.1,AND(J849="New",K849="Owner"),F849*0,AND(J849="New",K849="Builder"),F849*0.5)</f>
        <v>0</v>
      </c>
    </row>
    <row r="850" spans="1:15" x14ac:dyDescent="0.3">
      <c r="A850" s="8" t="s">
        <v>912</v>
      </c>
      <c r="B850" s="4" t="s">
        <v>842</v>
      </c>
      <c r="C850" s="4" t="s">
        <v>843</v>
      </c>
      <c r="D850" s="4">
        <v>2</v>
      </c>
      <c r="E850" s="4">
        <v>876</v>
      </c>
      <c r="F850" s="4">
        <v>6238247</v>
      </c>
      <c r="G850" s="4">
        <v>2</v>
      </c>
      <c r="H850" s="4">
        <v>1</v>
      </c>
      <c r="I850" s="4" t="s">
        <v>27</v>
      </c>
      <c r="J850" s="4" t="s">
        <v>23</v>
      </c>
      <c r="K850" s="4" t="s">
        <v>20</v>
      </c>
      <c r="L850" s="9">
        <v>45613</v>
      </c>
      <c r="M850" s="9" t="str">
        <f>TEXT(Source_data[[#This Row],[Listing_Date]],"mmm-yy")</f>
        <v>Nov-24</v>
      </c>
      <c r="N850" s="4">
        <f t="shared" si="13"/>
        <v>7121.2865296803657</v>
      </c>
      <c r="O850" s="3" cm="1">
        <f t="array" ref="O850">_xlfn.IFS(AND(K850="Broker",J850="Resale"),F850*0.5,AND(K850="Owner",J850="Resale"),F850*0,AND(K850="Builder",J850="Resale"),F850*0.3,AND(J850="New",K850="Broker"),F850*0.1,AND(J850="New",K850="Owner"),F850*0,AND(J850="New",K850="Builder"),F850*0.5)</f>
        <v>3119123.5</v>
      </c>
    </row>
    <row r="851" spans="1:15" x14ac:dyDescent="0.3">
      <c r="A851" s="8" t="s">
        <v>913</v>
      </c>
      <c r="B851" s="4" t="s">
        <v>842</v>
      </c>
      <c r="C851" s="4" t="s">
        <v>864</v>
      </c>
      <c r="D851" s="4">
        <v>3</v>
      </c>
      <c r="E851" s="4">
        <v>1464</v>
      </c>
      <c r="F851" s="4">
        <v>7531536</v>
      </c>
      <c r="G851" s="4">
        <v>3</v>
      </c>
      <c r="H851" s="4">
        <v>1</v>
      </c>
      <c r="I851" s="4" t="s">
        <v>18</v>
      </c>
      <c r="J851" s="4" t="s">
        <v>19</v>
      </c>
      <c r="K851" s="4" t="s">
        <v>24</v>
      </c>
      <c r="L851" s="9">
        <v>45841</v>
      </c>
      <c r="M851" s="9" t="str">
        <f>TEXT(Source_data[[#This Row],[Listing_Date]],"mmm-yy")</f>
        <v>Jul-25</v>
      </c>
      <c r="N851" s="4">
        <f t="shared" si="13"/>
        <v>5144.4918032786882</v>
      </c>
      <c r="O851" s="3" cm="1">
        <f t="array" ref="O851">_xlfn.IFS(AND(K851="Broker",J851="Resale"),F851*0.5,AND(K851="Owner",J851="Resale"),F851*0,AND(K851="Builder",J851="Resale"),F851*0.3,AND(J851="New",K851="Broker"),F851*0.1,AND(J851="New",K851="Owner"),F851*0,AND(J851="New",K851="Builder"),F851*0.5)</f>
        <v>3765768</v>
      </c>
    </row>
    <row r="852" spans="1:15" x14ac:dyDescent="0.3">
      <c r="A852" s="8" t="s">
        <v>914</v>
      </c>
      <c r="B852" s="4" t="s">
        <v>842</v>
      </c>
      <c r="C852" s="4" t="s">
        <v>857</v>
      </c>
      <c r="D852" s="4">
        <v>4</v>
      </c>
      <c r="E852" s="4">
        <v>2144</v>
      </c>
      <c r="F852" s="4">
        <v>9856525</v>
      </c>
      <c r="G852" s="4">
        <v>3</v>
      </c>
      <c r="H852" s="4">
        <v>1</v>
      </c>
      <c r="I852" s="4" t="s">
        <v>27</v>
      </c>
      <c r="J852" s="4" t="s">
        <v>19</v>
      </c>
      <c r="K852" s="4" t="s">
        <v>24</v>
      </c>
      <c r="L852" s="9">
        <v>45902</v>
      </c>
      <c r="M852" s="9" t="str">
        <f>TEXT(Source_data[[#This Row],[Listing_Date]],"mmm-yy")</f>
        <v>Sep-25</v>
      </c>
      <c r="N852" s="4">
        <f t="shared" si="13"/>
        <v>4597.2597947761196</v>
      </c>
      <c r="O852" s="3" cm="1">
        <f t="array" ref="O852">_xlfn.IFS(AND(K852="Broker",J852="Resale"),F852*0.5,AND(K852="Owner",J852="Resale"),F852*0,AND(K852="Builder",J852="Resale"),F852*0.3,AND(J852="New",K852="Broker"),F852*0.1,AND(J852="New",K852="Owner"),F852*0,AND(J852="New",K852="Builder"),F852*0.5)</f>
        <v>4928262.5</v>
      </c>
    </row>
    <row r="853" spans="1:15" x14ac:dyDescent="0.3">
      <c r="A853" s="8" t="s">
        <v>915</v>
      </c>
      <c r="B853" s="4" t="s">
        <v>842</v>
      </c>
      <c r="C853" s="4" t="s">
        <v>857</v>
      </c>
      <c r="D853" s="4">
        <v>5</v>
      </c>
      <c r="E853" s="4">
        <v>482</v>
      </c>
      <c r="F853" s="4">
        <v>2619462</v>
      </c>
      <c r="G853" s="4">
        <v>3</v>
      </c>
      <c r="H853" s="4">
        <v>1</v>
      </c>
      <c r="I853" s="4" t="s">
        <v>27</v>
      </c>
      <c r="J853" s="4" t="s">
        <v>19</v>
      </c>
      <c r="K853" s="4" t="s">
        <v>36</v>
      </c>
      <c r="L853" s="9">
        <v>45719</v>
      </c>
      <c r="M853" s="9" t="str">
        <f>TEXT(Source_data[[#This Row],[Listing_Date]],"mmm-yy")</f>
        <v>Mar-25</v>
      </c>
      <c r="N853" s="4">
        <f t="shared" si="13"/>
        <v>5434.5684647302905</v>
      </c>
      <c r="O853" s="3" cm="1">
        <f t="array" ref="O853">_xlfn.IFS(AND(K853="Broker",J853="Resale"),F853*0.5,AND(K853="Owner",J853="Resale"),F853*0,AND(K853="Builder",J853="Resale"),F853*0.3,AND(J853="New",K853="Broker"),F853*0.1,AND(J853="New",K853="Owner"),F853*0,AND(J853="New",K853="Builder"),F853*0.5)</f>
        <v>0</v>
      </c>
    </row>
    <row r="854" spans="1:15" x14ac:dyDescent="0.3">
      <c r="A854" s="8" t="s">
        <v>916</v>
      </c>
      <c r="B854" s="4" t="s">
        <v>842</v>
      </c>
      <c r="C854" s="4" t="s">
        <v>864</v>
      </c>
      <c r="D854" s="4">
        <v>3</v>
      </c>
      <c r="E854" s="4">
        <v>816</v>
      </c>
      <c r="F854" s="4">
        <v>4263981</v>
      </c>
      <c r="G854" s="4">
        <v>3</v>
      </c>
      <c r="H854" s="4">
        <v>3</v>
      </c>
      <c r="I854" s="4" t="s">
        <v>27</v>
      </c>
      <c r="J854" s="4" t="s">
        <v>23</v>
      </c>
      <c r="K854" s="4" t="s">
        <v>20</v>
      </c>
      <c r="L854" s="9">
        <v>45712</v>
      </c>
      <c r="M854" s="9" t="str">
        <f>TEXT(Source_data[[#This Row],[Listing_Date]],"mmm-yy")</f>
        <v>Feb-25</v>
      </c>
      <c r="N854" s="4">
        <f t="shared" si="13"/>
        <v>5225.4669117647063</v>
      </c>
      <c r="O854" s="3" cm="1">
        <f t="array" ref="O854">_xlfn.IFS(AND(K854="Broker",J854="Resale"),F854*0.5,AND(K854="Owner",J854="Resale"),F854*0,AND(K854="Builder",J854="Resale"),F854*0.3,AND(J854="New",K854="Broker"),F854*0.1,AND(J854="New",K854="Owner"),F854*0,AND(J854="New",K854="Builder"),F854*0.5)</f>
        <v>2131990.5</v>
      </c>
    </row>
    <row r="855" spans="1:15" x14ac:dyDescent="0.3">
      <c r="A855" s="8" t="s">
        <v>917</v>
      </c>
      <c r="B855" s="4" t="s">
        <v>842</v>
      </c>
      <c r="C855" s="4" t="s">
        <v>847</v>
      </c>
      <c r="D855" s="4">
        <v>3</v>
      </c>
      <c r="E855" s="4">
        <v>1417</v>
      </c>
      <c r="F855" s="4">
        <v>9651232</v>
      </c>
      <c r="G855" s="4">
        <v>3</v>
      </c>
      <c r="H855" s="4">
        <v>1</v>
      </c>
      <c r="I855" s="4" t="s">
        <v>27</v>
      </c>
      <c r="J855" s="4" t="s">
        <v>19</v>
      </c>
      <c r="K855" s="4" t="s">
        <v>20</v>
      </c>
      <c r="L855" s="9">
        <v>45139</v>
      </c>
      <c r="M855" s="9" t="str">
        <f>TEXT(Source_data[[#This Row],[Listing_Date]],"mmm-yy")</f>
        <v>Aug-23</v>
      </c>
      <c r="N855" s="4">
        <f t="shared" si="13"/>
        <v>6811.0317572335925</v>
      </c>
      <c r="O855" s="3" cm="1">
        <f t="array" ref="O855">_xlfn.IFS(AND(K855="Broker",J855="Resale"),F855*0.5,AND(K855="Owner",J855="Resale"),F855*0,AND(K855="Builder",J855="Resale"),F855*0.3,AND(J855="New",K855="Broker"),F855*0.1,AND(J855="New",K855="Owner"),F855*0,AND(J855="New",K855="Builder"),F855*0.5)</f>
        <v>965123.20000000007</v>
      </c>
    </row>
    <row r="856" spans="1:15" x14ac:dyDescent="0.3">
      <c r="A856" s="8" t="s">
        <v>918</v>
      </c>
      <c r="B856" s="4" t="s">
        <v>842</v>
      </c>
      <c r="C856" s="4" t="s">
        <v>857</v>
      </c>
      <c r="D856" s="4">
        <v>3</v>
      </c>
      <c r="E856" s="4">
        <v>948</v>
      </c>
      <c r="F856" s="4">
        <v>4869628</v>
      </c>
      <c r="G856" s="4">
        <v>2</v>
      </c>
      <c r="H856" s="4">
        <v>2</v>
      </c>
      <c r="I856" s="4" t="s">
        <v>27</v>
      </c>
      <c r="J856" s="4" t="s">
        <v>19</v>
      </c>
      <c r="K856" s="4" t="s">
        <v>24</v>
      </c>
      <c r="L856" s="9">
        <v>45250</v>
      </c>
      <c r="M856" s="9" t="str">
        <f>TEXT(Source_data[[#This Row],[Listing_Date]],"mmm-yy")</f>
        <v>Nov-23</v>
      </c>
      <c r="N856" s="4">
        <f t="shared" si="13"/>
        <v>5136.7383966244724</v>
      </c>
      <c r="O856" s="3" cm="1">
        <f t="array" ref="O856">_xlfn.IFS(AND(K856="Broker",J856="Resale"),F856*0.5,AND(K856="Owner",J856="Resale"),F856*0,AND(K856="Builder",J856="Resale"),F856*0.3,AND(J856="New",K856="Broker"),F856*0.1,AND(J856="New",K856="Owner"),F856*0,AND(J856="New",K856="Builder"),F856*0.5)</f>
        <v>2434814</v>
      </c>
    </row>
    <row r="857" spans="1:15" x14ac:dyDescent="0.3">
      <c r="A857" s="8" t="s">
        <v>919</v>
      </c>
      <c r="B857" s="4" t="s">
        <v>842</v>
      </c>
      <c r="C857" s="4" t="s">
        <v>17</v>
      </c>
      <c r="D857" s="4">
        <v>2</v>
      </c>
      <c r="E857" s="4">
        <v>862</v>
      </c>
      <c r="F857" s="4">
        <v>5763909</v>
      </c>
      <c r="G857" s="4">
        <v>2</v>
      </c>
      <c r="H857" s="4">
        <v>2</v>
      </c>
      <c r="I857" s="4" t="s">
        <v>67</v>
      </c>
      <c r="J857" s="4" t="s">
        <v>23</v>
      </c>
      <c r="K857" s="4" t="s">
        <v>36</v>
      </c>
      <c r="L857" s="9">
        <v>45156</v>
      </c>
      <c r="M857" s="9" t="str">
        <f>TEXT(Source_data[[#This Row],[Listing_Date]],"mmm-yy")</f>
        <v>Aug-23</v>
      </c>
      <c r="N857" s="4">
        <f t="shared" si="13"/>
        <v>6686.6693735498839</v>
      </c>
      <c r="O857" s="3" cm="1">
        <f t="array" ref="O857">_xlfn.IFS(AND(K857="Broker",J857="Resale"),F857*0.5,AND(K857="Owner",J857="Resale"),F857*0,AND(K857="Builder",J857="Resale"),F857*0.3,AND(J857="New",K857="Broker"),F857*0.1,AND(J857="New",K857="Owner"),F857*0,AND(J857="New",K857="Builder"),F857*0.5)</f>
        <v>0</v>
      </c>
    </row>
    <row r="858" spans="1:15" x14ac:dyDescent="0.3">
      <c r="A858" s="8" t="s">
        <v>920</v>
      </c>
      <c r="B858" s="4" t="s">
        <v>842</v>
      </c>
      <c r="C858" s="4" t="s">
        <v>847</v>
      </c>
      <c r="D858" s="4">
        <v>3</v>
      </c>
      <c r="E858" s="4">
        <v>1788</v>
      </c>
      <c r="F858" s="4">
        <v>8639577</v>
      </c>
      <c r="G858" s="4">
        <v>4</v>
      </c>
      <c r="H858" s="4">
        <v>3</v>
      </c>
      <c r="I858" s="4" t="s">
        <v>18</v>
      </c>
      <c r="J858" s="4" t="s">
        <v>23</v>
      </c>
      <c r="K858" s="4" t="s">
        <v>24</v>
      </c>
      <c r="L858" s="9">
        <v>45278</v>
      </c>
      <c r="M858" s="9" t="str">
        <f>TEXT(Source_data[[#This Row],[Listing_Date]],"mmm-yy")</f>
        <v>Dec-23</v>
      </c>
      <c r="N858" s="4">
        <f t="shared" si="13"/>
        <v>4831.9781879194634</v>
      </c>
      <c r="O858" s="3" cm="1">
        <f t="array" ref="O858">_xlfn.IFS(AND(K858="Broker",J858="Resale"),F858*0.5,AND(K858="Owner",J858="Resale"),F858*0,AND(K858="Builder",J858="Resale"),F858*0.3,AND(J858="New",K858="Broker"),F858*0.1,AND(J858="New",K858="Owner"),F858*0,AND(J858="New",K858="Builder"),F858*0.5)</f>
        <v>2591873.1</v>
      </c>
    </row>
    <row r="859" spans="1:15" x14ac:dyDescent="0.3">
      <c r="A859" s="8" t="s">
        <v>921</v>
      </c>
      <c r="B859" s="4" t="s">
        <v>842</v>
      </c>
      <c r="C859" s="4" t="s">
        <v>857</v>
      </c>
      <c r="D859" s="4">
        <v>2</v>
      </c>
      <c r="E859" s="4">
        <v>1307</v>
      </c>
      <c r="F859" s="4">
        <v>6500964</v>
      </c>
      <c r="G859" s="4">
        <v>2</v>
      </c>
      <c r="H859" s="4">
        <v>2</v>
      </c>
      <c r="I859" s="4" t="s">
        <v>27</v>
      </c>
      <c r="J859" s="4" t="s">
        <v>19</v>
      </c>
      <c r="K859" s="4" t="s">
        <v>36</v>
      </c>
      <c r="L859" s="9">
        <v>45739</v>
      </c>
      <c r="M859" s="9" t="str">
        <f>TEXT(Source_data[[#This Row],[Listing_Date]],"mmm-yy")</f>
        <v>Mar-25</v>
      </c>
      <c r="N859" s="4">
        <f t="shared" si="13"/>
        <v>4973.9586840091815</v>
      </c>
      <c r="O859" s="3" cm="1">
        <f t="array" ref="O859">_xlfn.IFS(AND(K859="Broker",J859="Resale"),F859*0.5,AND(K859="Owner",J859="Resale"),F859*0,AND(K859="Builder",J859="Resale"),F859*0.3,AND(J859="New",K859="Broker"),F859*0.1,AND(J859="New",K859="Owner"),F859*0,AND(J859="New",K859="Builder"),F859*0.5)</f>
        <v>0</v>
      </c>
    </row>
    <row r="860" spans="1:15" x14ac:dyDescent="0.3">
      <c r="A860" s="8" t="s">
        <v>922</v>
      </c>
      <c r="B860" s="4" t="s">
        <v>842</v>
      </c>
      <c r="C860" s="4" t="s">
        <v>17</v>
      </c>
      <c r="D860" s="4">
        <v>2</v>
      </c>
      <c r="E860" s="4">
        <v>1306</v>
      </c>
      <c r="F860" s="4">
        <v>7105524</v>
      </c>
      <c r="G860" s="4">
        <v>2</v>
      </c>
      <c r="H860" s="4">
        <v>2</v>
      </c>
      <c r="I860" s="4" t="s">
        <v>27</v>
      </c>
      <c r="J860" s="4" t="s">
        <v>23</v>
      </c>
      <c r="K860" s="4" t="s">
        <v>20</v>
      </c>
      <c r="L860" s="9">
        <v>45348</v>
      </c>
      <c r="M860" s="9" t="str">
        <f>TEXT(Source_data[[#This Row],[Listing_Date]],"mmm-yy")</f>
        <v>Feb-24</v>
      </c>
      <c r="N860" s="4">
        <f t="shared" si="13"/>
        <v>5440.6768759571214</v>
      </c>
      <c r="O860" s="3" cm="1">
        <f t="array" ref="O860">_xlfn.IFS(AND(K860="Broker",J860="Resale"),F860*0.5,AND(K860="Owner",J860="Resale"),F860*0,AND(K860="Builder",J860="Resale"),F860*0.3,AND(J860="New",K860="Broker"),F860*0.1,AND(J860="New",K860="Owner"),F860*0,AND(J860="New",K860="Builder"),F860*0.5)</f>
        <v>3552762</v>
      </c>
    </row>
    <row r="861" spans="1:15" x14ac:dyDescent="0.3">
      <c r="A861" s="8" t="s">
        <v>923</v>
      </c>
      <c r="B861" s="4" t="s">
        <v>842</v>
      </c>
      <c r="C861" s="4" t="s">
        <v>17</v>
      </c>
      <c r="D861" s="4">
        <v>4</v>
      </c>
      <c r="E861" s="4">
        <v>2225</v>
      </c>
      <c r="F861" s="4">
        <v>11207689</v>
      </c>
      <c r="G861" s="4">
        <v>3</v>
      </c>
      <c r="H861" s="4">
        <v>3</v>
      </c>
      <c r="I861" s="4" t="s">
        <v>8</v>
      </c>
      <c r="J861" s="4" t="s">
        <v>19</v>
      </c>
      <c r="K861" s="4" t="s">
        <v>24</v>
      </c>
      <c r="L861" s="9">
        <v>45569</v>
      </c>
      <c r="M861" s="9" t="str">
        <f>TEXT(Source_data[[#This Row],[Listing_Date]],"mmm-yy")</f>
        <v>Oct-24</v>
      </c>
      <c r="N861" s="4">
        <f t="shared" si="13"/>
        <v>5037.1635955056181</v>
      </c>
      <c r="O861" s="3" cm="1">
        <f t="array" ref="O861">_xlfn.IFS(AND(K861="Broker",J861="Resale"),F861*0.5,AND(K861="Owner",J861="Resale"),F861*0,AND(K861="Builder",J861="Resale"),F861*0.3,AND(J861="New",K861="Broker"),F861*0.1,AND(J861="New",K861="Owner"),F861*0,AND(J861="New",K861="Builder"),F861*0.5)</f>
        <v>5603844.5</v>
      </c>
    </row>
    <row r="862" spans="1:15" x14ac:dyDescent="0.3">
      <c r="A862" s="8" t="s">
        <v>924</v>
      </c>
      <c r="B862" s="4" t="s">
        <v>842</v>
      </c>
      <c r="C862" s="4" t="s">
        <v>864</v>
      </c>
      <c r="D862" s="4">
        <v>2</v>
      </c>
      <c r="E862" s="4">
        <v>824</v>
      </c>
      <c r="F862" s="4">
        <v>5100011</v>
      </c>
      <c r="G862" s="4">
        <v>2</v>
      </c>
      <c r="H862" s="4">
        <v>2</v>
      </c>
      <c r="I862" s="4" t="s">
        <v>27</v>
      </c>
      <c r="J862" s="4" t="s">
        <v>23</v>
      </c>
      <c r="K862" s="4" t="s">
        <v>24</v>
      </c>
      <c r="L862" s="9">
        <v>44958</v>
      </c>
      <c r="M862" s="9" t="str">
        <f>TEXT(Source_data[[#This Row],[Listing_Date]],"mmm-yy")</f>
        <v>Feb-23</v>
      </c>
      <c r="N862" s="4">
        <f t="shared" si="13"/>
        <v>6189.3337378640781</v>
      </c>
      <c r="O862" s="3" cm="1">
        <f t="array" ref="O862">_xlfn.IFS(AND(K862="Broker",J862="Resale"),F862*0.5,AND(K862="Owner",J862="Resale"),F862*0,AND(K862="Builder",J862="Resale"),F862*0.3,AND(J862="New",K862="Broker"),F862*0.1,AND(J862="New",K862="Owner"),F862*0,AND(J862="New",K862="Builder"),F862*0.5)</f>
        <v>1530003.3</v>
      </c>
    </row>
    <row r="863" spans="1:15" x14ac:dyDescent="0.3">
      <c r="A863" s="8" t="s">
        <v>925</v>
      </c>
      <c r="B863" s="4" t="s">
        <v>842</v>
      </c>
      <c r="C863" s="4" t="s">
        <v>845</v>
      </c>
      <c r="D863" s="4">
        <v>3</v>
      </c>
      <c r="E863" s="4">
        <v>1125</v>
      </c>
      <c r="F863" s="4">
        <v>9409957</v>
      </c>
      <c r="G863" s="4">
        <v>4</v>
      </c>
      <c r="H863" s="4">
        <v>3</v>
      </c>
      <c r="I863" s="4" t="s">
        <v>18</v>
      </c>
      <c r="J863" s="4" t="s">
        <v>23</v>
      </c>
      <c r="K863" s="4" t="s">
        <v>36</v>
      </c>
      <c r="L863" s="9">
        <v>45445</v>
      </c>
      <c r="M863" s="9" t="str">
        <f>TEXT(Source_data[[#This Row],[Listing_Date]],"mmm-yy")</f>
        <v>Jun-24</v>
      </c>
      <c r="N863" s="4">
        <f t="shared" si="13"/>
        <v>8364.4062222222219</v>
      </c>
      <c r="O863" s="3" cm="1">
        <f t="array" ref="O863">_xlfn.IFS(AND(K863="Broker",J863="Resale"),F863*0.5,AND(K863="Owner",J863="Resale"),F863*0,AND(K863="Builder",J863="Resale"),F863*0.3,AND(J863="New",K863="Broker"),F863*0.1,AND(J863="New",K863="Owner"),F863*0,AND(J863="New",K863="Builder"),F863*0.5)</f>
        <v>0</v>
      </c>
    </row>
    <row r="864" spans="1:15" x14ac:dyDescent="0.3">
      <c r="A864" s="8" t="s">
        <v>926</v>
      </c>
      <c r="B864" s="4" t="s">
        <v>842</v>
      </c>
      <c r="C864" s="4" t="s">
        <v>843</v>
      </c>
      <c r="D864" s="4">
        <v>2</v>
      </c>
      <c r="E864" s="4">
        <v>918</v>
      </c>
      <c r="F864" s="4">
        <v>5174599</v>
      </c>
      <c r="G864" s="4">
        <v>2</v>
      </c>
      <c r="H864" s="4">
        <v>0</v>
      </c>
      <c r="I864" s="4" t="s">
        <v>8</v>
      </c>
      <c r="J864" s="4" t="s">
        <v>23</v>
      </c>
      <c r="K864" s="4" t="s">
        <v>36</v>
      </c>
      <c r="L864" s="9">
        <v>45550</v>
      </c>
      <c r="M864" s="9" t="str">
        <f>TEXT(Source_data[[#This Row],[Listing_Date]],"mmm-yy")</f>
        <v>Sep-24</v>
      </c>
      <c r="N864" s="4">
        <f t="shared" si="13"/>
        <v>5636.8180827886708</v>
      </c>
      <c r="O864" s="3" cm="1">
        <f t="array" ref="O864">_xlfn.IFS(AND(K864="Broker",J864="Resale"),F864*0.5,AND(K864="Owner",J864="Resale"),F864*0,AND(K864="Builder",J864="Resale"),F864*0.3,AND(J864="New",K864="Broker"),F864*0.1,AND(J864="New",K864="Owner"),F864*0,AND(J864="New",K864="Builder"),F864*0.5)</f>
        <v>0</v>
      </c>
    </row>
    <row r="865" spans="1:15" x14ac:dyDescent="0.3">
      <c r="A865" s="8" t="s">
        <v>927</v>
      </c>
      <c r="B865" s="4" t="s">
        <v>842</v>
      </c>
      <c r="C865" s="4" t="s">
        <v>847</v>
      </c>
      <c r="D865" s="4">
        <v>4</v>
      </c>
      <c r="E865" s="4">
        <v>2450</v>
      </c>
      <c r="F865" s="4">
        <v>10624046</v>
      </c>
      <c r="G865" s="4">
        <v>2</v>
      </c>
      <c r="H865" s="4">
        <v>1</v>
      </c>
      <c r="I865" s="4" t="s">
        <v>27</v>
      </c>
      <c r="J865" s="4" t="s">
        <v>19</v>
      </c>
      <c r="K865" s="4" t="s">
        <v>24</v>
      </c>
      <c r="L865" s="9">
        <v>45687</v>
      </c>
      <c r="M865" s="9" t="str">
        <f>TEXT(Source_data[[#This Row],[Listing_Date]],"mmm-yy")</f>
        <v>Jan-25</v>
      </c>
      <c r="N865" s="4">
        <f t="shared" si="13"/>
        <v>4336.3453061224491</v>
      </c>
      <c r="O865" s="3" cm="1">
        <f t="array" ref="O865">_xlfn.IFS(AND(K865="Broker",J865="Resale"),F865*0.5,AND(K865="Owner",J865="Resale"),F865*0,AND(K865="Builder",J865="Resale"),F865*0.3,AND(J865="New",K865="Broker"),F865*0.1,AND(J865="New",K865="Owner"),F865*0,AND(J865="New",K865="Builder"),F865*0.5)</f>
        <v>5312023</v>
      </c>
    </row>
    <row r="866" spans="1:15" x14ac:dyDescent="0.3">
      <c r="A866" s="8" t="s">
        <v>928</v>
      </c>
      <c r="B866" s="4" t="s">
        <v>842</v>
      </c>
      <c r="C866" s="4" t="s">
        <v>864</v>
      </c>
      <c r="D866" s="4">
        <v>3</v>
      </c>
      <c r="E866" s="4">
        <v>1208</v>
      </c>
      <c r="F866" s="4">
        <v>6164513</v>
      </c>
      <c r="G866" s="4">
        <v>4</v>
      </c>
      <c r="H866" s="4">
        <v>2</v>
      </c>
      <c r="I866" s="4" t="s">
        <v>27</v>
      </c>
      <c r="J866" s="4" t="s">
        <v>19</v>
      </c>
      <c r="K866" s="4" t="s">
        <v>36</v>
      </c>
      <c r="L866" s="9">
        <v>45094</v>
      </c>
      <c r="M866" s="9" t="str">
        <f>TEXT(Source_data[[#This Row],[Listing_Date]],"mmm-yy")</f>
        <v>Jun-23</v>
      </c>
      <c r="N866" s="4">
        <f t="shared" si="13"/>
        <v>5103.0736754966883</v>
      </c>
      <c r="O866" s="3" cm="1">
        <f t="array" ref="O866">_xlfn.IFS(AND(K866="Broker",J866="Resale"),F866*0.5,AND(K866="Owner",J866="Resale"),F866*0,AND(K866="Builder",J866="Resale"),F866*0.3,AND(J866="New",K866="Broker"),F866*0.1,AND(J866="New",K866="Owner"),F866*0,AND(J866="New",K866="Builder"),F866*0.5)</f>
        <v>0</v>
      </c>
    </row>
    <row r="867" spans="1:15" x14ac:dyDescent="0.3">
      <c r="A867" s="8" t="s">
        <v>929</v>
      </c>
      <c r="B867" s="4" t="s">
        <v>842</v>
      </c>
      <c r="C867" s="4" t="s">
        <v>845</v>
      </c>
      <c r="D867" s="4">
        <v>4</v>
      </c>
      <c r="E867" s="4">
        <v>1681</v>
      </c>
      <c r="F867" s="4">
        <v>7774746</v>
      </c>
      <c r="G867" s="4">
        <v>3</v>
      </c>
      <c r="H867" s="4">
        <v>3</v>
      </c>
      <c r="I867" s="4" t="s">
        <v>27</v>
      </c>
      <c r="J867" s="4" t="s">
        <v>23</v>
      </c>
      <c r="K867" s="4" t="s">
        <v>24</v>
      </c>
      <c r="L867" s="9">
        <v>45724</v>
      </c>
      <c r="M867" s="9" t="str">
        <f>TEXT(Source_data[[#This Row],[Listing_Date]],"mmm-yy")</f>
        <v>Mar-25</v>
      </c>
      <c r="N867" s="4">
        <f t="shared" si="13"/>
        <v>4625.0719809637121</v>
      </c>
      <c r="O867" s="3" cm="1">
        <f t="array" ref="O867">_xlfn.IFS(AND(K867="Broker",J867="Resale"),F867*0.5,AND(K867="Owner",J867="Resale"),F867*0,AND(K867="Builder",J867="Resale"),F867*0.3,AND(J867="New",K867="Broker"),F867*0.1,AND(J867="New",K867="Owner"),F867*0,AND(J867="New",K867="Builder"),F867*0.5)</f>
        <v>2332423.7999999998</v>
      </c>
    </row>
    <row r="868" spans="1:15" x14ac:dyDescent="0.3">
      <c r="A868" s="8" t="s">
        <v>930</v>
      </c>
      <c r="B868" s="4" t="s">
        <v>842</v>
      </c>
      <c r="C868" s="4" t="s">
        <v>847</v>
      </c>
      <c r="D868" s="4">
        <v>2</v>
      </c>
      <c r="E868" s="4">
        <v>777</v>
      </c>
      <c r="F868" s="4">
        <v>3916223</v>
      </c>
      <c r="G868" s="4">
        <v>2</v>
      </c>
      <c r="H868" s="4">
        <v>1</v>
      </c>
      <c r="I868" s="4" t="s">
        <v>18</v>
      </c>
      <c r="J868" s="4" t="s">
        <v>19</v>
      </c>
      <c r="K868" s="4" t="s">
        <v>24</v>
      </c>
      <c r="L868" s="9">
        <v>45132</v>
      </c>
      <c r="M868" s="9" t="str">
        <f>TEXT(Source_data[[#This Row],[Listing_Date]],"mmm-yy")</f>
        <v>Jul-23</v>
      </c>
      <c r="N868" s="4">
        <f t="shared" si="13"/>
        <v>5040.1840411840412</v>
      </c>
      <c r="O868" s="3" cm="1">
        <f t="array" ref="O868">_xlfn.IFS(AND(K868="Broker",J868="Resale"),F868*0.5,AND(K868="Owner",J868="Resale"),F868*0,AND(K868="Builder",J868="Resale"),F868*0.3,AND(J868="New",K868="Broker"),F868*0.1,AND(J868="New",K868="Owner"),F868*0,AND(J868="New",K868="Builder"),F868*0.5)</f>
        <v>1958111.5</v>
      </c>
    </row>
    <row r="869" spans="1:15" x14ac:dyDescent="0.3">
      <c r="A869" s="8" t="s">
        <v>931</v>
      </c>
      <c r="B869" s="4" t="s">
        <v>842</v>
      </c>
      <c r="C869" s="4" t="s">
        <v>845</v>
      </c>
      <c r="D869" s="4">
        <v>3</v>
      </c>
      <c r="E869" s="4">
        <v>1056</v>
      </c>
      <c r="F869" s="4">
        <v>5314706</v>
      </c>
      <c r="G869" s="4">
        <v>3</v>
      </c>
      <c r="H869" s="4">
        <v>1</v>
      </c>
      <c r="I869" s="4" t="s">
        <v>27</v>
      </c>
      <c r="J869" s="4" t="s">
        <v>23</v>
      </c>
      <c r="K869" s="4" t="s">
        <v>36</v>
      </c>
      <c r="L869" s="9">
        <v>45865</v>
      </c>
      <c r="M869" s="9" t="str">
        <f>TEXT(Source_data[[#This Row],[Listing_Date]],"mmm-yy")</f>
        <v>Jul-25</v>
      </c>
      <c r="N869" s="4">
        <f t="shared" si="13"/>
        <v>5032.86553030303</v>
      </c>
      <c r="O869" s="3" cm="1">
        <f t="array" ref="O869">_xlfn.IFS(AND(K869="Broker",J869="Resale"),F869*0.5,AND(K869="Owner",J869="Resale"),F869*0,AND(K869="Builder",J869="Resale"),F869*0.3,AND(J869="New",K869="Broker"),F869*0.1,AND(J869="New",K869="Owner"),F869*0,AND(J869="New",K869="Builder"),F869*0.5)</f>
        <v>0</v>
      </c>
    </row>
    <row r="870" spans="1:15" x14ac:dyDescent="0.3">
      <c r="A870" s="8" t="s">
        <v>932</v>
      </c>
      <c r="B870" s="4" t="s">
        <v>842</v>
      </c>
      <c r="C870" s="4" t="s">
        <v>845</v>
      </c>
      <c r="D870" s="4">
        <v>3</v>
      </c>
      <c r="E870" s="4">
        <v>927</v>
      </c>
      <c r="F870" s="4">
        <v>5636595</v>
      </c>
      <c r="G870" s="4">
        <v>3</v>
      </c>
      <c r="H870" s="4">
        <v>1</v>
      </c>
      <c r="I870" s="4" t="s">
        <v>27</v>
      </c>
      <c r="J870" s="4" t="s">
        <v>19</v>
      </c>
      <c r="K870" s="4" t="s">
        <v>36</v>
      </c>
      <c r="L870" s="9">
        <v>45085</v>
      </c>
      <c r="M870" s="9" t="str">
        <f>TEXT(Source_data[[#This Row],[Listing_Date]],"mmm-yy")</f>
        <v>Jun-23</v>
      </c>
      <c r="N870" s="4">
        <f t="shared" si="13"/>
        <v>6080.46925566343</v>
      </c>
      <c r="O870" s="3" cm="1">
        <f t="array" ref="O870">_xlfn.IFS(AND(K870="Broker",J870="Resale"),F870*0.5,AND(K870="Owner",J870="Resale"),F870*0,AND(K870="Builder",J870="Resale"),F870*0.3,AND(J870="New",K870="Broker"),F870*0.1,AND(J870="New",K870="Owner"),F870*0,AND(J870="New",K870="Builder"),F870*0.5)</f>
        <v>0</v>
      </c>
    </row>
    <row r="871" spans="1:15" x14ac:dyDescent="0.3">
      <c r="A871" s="8" t="s">
        <v>933</v>
      </c>
      <c r="B871" s="4" t="s">
        <v>842</v>
      </c>
      <c r="C871" s="4" t="s">
        <v>864</v>
      </c>
      <c r="D871" s="4">
        <v>2</v>
      </c>
      <c r="E871" s="4">
        <v>1145</v>
      </c>
      <c r="F871" s="4">
        <v>8007930</v>
      </c>
      <c r="G871" s="4">
        <v>2</v>
      </c>
      <c r="H871" s="4">
        <v>2</v>
      </c>
      <c r="I871" s="4" t="s">
        <v>8</v>
      </c>
      <c r="J871" s="4" t="s">
        <v>23</v>
      </c>
      <c r="K871" s="4" t="s">
        <v>20</v>
      </c>
      <c r="L871" s="9">
        <v>45832</v>
      </c>
      <c r="M871" s="9" t="str">
        <f>TEXT(Source_data[[#This Row],[Listing_Date]],"mmm-yy")</f>
        <v>Jun-25</v>
      </c>
      <c r="N871" s="4">
        <f t="shared" si="13"/>
        <v>6993.8253275109173</v>
      </c>
      <c r="O871" s="3" cm="1">
        <f t="array" ref="O871">_xlfn.IFS(AND(K871="Broker",J871="Resale"),F871*0.5,AND(K871="Owner",J871="Resale"),F871*0,AND(K871="Builder",J871="Resale"),F871*0.3,AND(J871="New",K871="Broker"),F871*0.1,AND(J871="New",K871="Owner"),F871*0,AND(J871="New",K871="Builder"),F871*0.5)</f>
        <v>4003965</v>
      </c>
    </row>
    <row r="872" spans="1:15" x14ac:dyDescent="0.3">
      <c r="A872" s="8" t="s">
        <v>934</v>
      </c>
      <c r="B872" s="4" t="s">
        <v>842</v>
      </c>
      <c r="C872" s="4" t="s">
        <v>847</v>
      </c>
      <c r="D872" s="4">
        <v>2</v>
      </c>
      <c r="E872" s="4">
        <v>949</v>
      </c>
      <c r="F872" s="4">
        <v>5565825</v>
      </c>
      <c r="G872" s="4">
        <v>2</v>
      </c>
      <c r="H872" s="4">
        <v>3</v>
      </c>
      <c r="I872" s="4" t="s">
        <v>27</v>
      </c>
      <c r="J872" s="4" t="s">
        <v>19</v>
      </c>
      <c r="K872" s="4" t="s">
        <v>24</v>
      </c>
      <c r="L872" s="9">
        <v>45146</v>
      </c>
      <c r="M872" s="9" t="str">
        <f>TEXT(Source_data[[#This Row],[Listing_Date]],"mmm-yy")</f>
        <v>Aug-23</v>
      </c>
      <c r="N872" s="4">
        <f t="shared" si="13"/>
        <v>5864.9367755532139</v>
      </c>
      <c r="O872" s="3" cm="1">
        <f t="array" ref="O872">_xlfn.IFS(AND(K872="Broker",J872="Resale"),F872*0.5,AND(K872="Owner",J872="Resale"),F872*0,AND(K872="Builder",J872="Resale"),F872*0.3,AND(J872="New",K872="Broker"),F872*0.1,AND(J872="New",K872="Owner"),F872*0,AND(J872="New",K872="Builder"),F872*0.5)</f>
        <v>2782912.5</v>
      </c>
    </row>
    <row r="873" spans="1:15" x14ac:dyDescent="0.3">
      <c r="A873" s="8" t="s">
        <v>935</v>
      </c>
      <c r="B873" s="4" t="s">
        <v>842</v>
      </c>
      <c r="C873" s="4" t="s">
        <v>864</v>
      </c>
      <c r="D873" s="4">
        <v>3</v>
      </c>
      <c r="E873" s="4">
        <v>1536</v>
      </c>
      <c r="F873" s="4">
        <v>9773826</v>
      </c>
      <c r="G873" s="4">
        <v>3</v>
      </c>
      <c r="H873" s="4">
        <v>0</v>
      </c>
      <c r="I873" s="4" t="s">
        <v>8</v>
      </c>
      <c r="J873" s="4" t="s">
        <v>23</v>
      </c>
      <c r="K873" s="4" t="s">
        <v>20</v>
      </c>
      <c r="L873" s="9">
        <v>45188</v>
      </c>
      <c r="M873" s="9" t="str">
        <f>TEXT(Source_data[[#This Row],[Listing_Date]],"mmm-yy")</f>
        <v>Sep-23</v>
      </c>
      <c r="N873" s="4">
        <f t="shared" si="13"/>
        <v>6363.16796875</v>
      </c>
      <c r="O873" s="3" cm="1">
        <f t="array" ref="O873">_xlfn.IFS(AND(K873="Broker",J873="Resale"),F873*0.5,AND(K873="Owner",J873="Resale"),F873*0,AND(K873="Builder",J873="Resale"),F873*0.3,AND(J873="New",K873="Broker"),F873*0.1,AND(J873="New",K873="Owner"),F873*0,AND(J873="New",K873="Builder"),F873*0.5)</f>
        <v>4886913</v>
      </c>
    </row>
    <row r="874" spans="1:15" x14ac:dyDescent="0.3">
      <c r="A874" s="8" t="s">
        <v>936</v>
      </c>
      <c r="B874" s="4" t="s">
        <v>842</v>
      </c>
      <c r="C874" s="4" t="s">
        <v>864</v>
      </c>
      <c r="D874" s="4">
        <v>4</v>
      </c>
      <c r="E874" s="4">
        <v>1802</v>
      </c>
      <c r="F874" s="4">
        <v>9742078</v>
      </c>
      <c r="G874" s="4">
        <v>3</v>
      </c>
      <c r="H874" s="4">
        <v>1</v>
      </c>
      <c r="I874" s="4" t="s">
        <v>8</v>
      </c>
      <c r="J874" s="4" t="s">
        <v>19</v>
      </c>
      <c r="K874" s="4" t="s">
        <v>24</v>
      </c>
      <c r="L874" s="9">
        <v>45625</v>
      </c>
      <c r="M874" s="9" t="str">
        <f>TEXT(Source_data[[#This Row],[Listing_Date]],"mmm-yy")</f>
        <v>Nov-24</v>
      </c>
      <c r="N874" s="4">
        <f t="shared" si="13"/>
        <v>5406.2586015538291</v>
      </c>
      <c r="O874" s="3" cm="1">
        <f t="array" ref="O874">_xlfn.IFS(AND(K874="Broker",J874="Resale"),F874*0.5,AND(K874="Owner",J874="Resale"),F874*0,AND(K874="Builder",J874="Resale"),F874*0.3,AND(J874="New",K874="Broker"),F874*0.1,AND(J874="New",K874="Owner"),F874*0,AND(J874="New",K874="Builder"),F874*0.5)</f>
        <v>4871039</v>
      </c>
    </row>
    <row r="875" spans="1:15" x14ac:dyDescent="0.3">
      <c r="A875" s="8" t="s">
        <v>937</v>
      </c>
      <c r="B875" s="4" t="s">
        <v>842</v>
      </c>
      <c r="C875" s="4" t="s">
        <v>857</v>
      </c>
      <c r="D875" s="4">
        <v>2</v>
      </c>
      <c r="E875" s="4">
        <v>855</v>
      </c>
      <c r="F875" s="4">
        <v>4447215</v>
      </c>
      <c r="G875" s="4">
        <v>1</v>
      </c>
      <c r="H875" s="4">
        <v>2</v>
      </c>
      <c r="I875" s="4" t="s">
        <v>27</v>
      </c>
      <c r="J875" s="4" t="s">
        <v>23</v>
      </c>
      <c r="K875" s="4" t="s">
        <v>36</v>
      </c>
      <c r="L875" s="9">
        <v>45848</v>
      </c>
      <c r="M875" s="9" t="str">
        <f>TEXT(Source_data[[#This Row],[Listing_Date]],"mmm-yy")</f>
        <v>Jul-25</v>
      </c>
      <c r="N875" s="4">
        <f t="shared" si="13"/>
        <v>5201.4210526315792</v>
      </c>
      <c r="O875" s="3" cm="1">
        <f t="array" ref="O875">_xlfn.IFS(AND(K875="Broker",J875="Resale"),F875*0.5,AND(K875="Owner",J875="Resale"),F875*0,AND(K875="Builder",J875="Resale"),F875*0.3,AND(J875="New",K875="Broker"),F875*0.1,AND(J875="New",K875="Owner"),F875*0,AND(J875="New",K875="Builder"),F875*0.5)</f>
        <v>0</v>
      </c>
    </row>
    <row r="876" spans="1:15" x14ac:dyDescent="0.3">
      <c r="A876" s="8" t="s">
        <v>938</v>
      </c>
      <c r="B876" s="4" t="s">
        <v>842</v>
      </c>
      <c r="C876" s="4" t="s">
        <v>857</v>
      </c>
      <c r="D876" s="4">
        <v>3</v>
      </c>
      <c r="E876" s="4">
        <v>1429</v>
      </c>
      <c r="F876" s="4">
        <v>7245385</v>
      </c>
      <c r="G876" s="4">
        <v>4</v>
      </c>
      <c r="H876" s="4">
        <v>1</v>
      </c>
      <c r="I876" s="4" t="s">
        <v>8</v>
      </c>
      <c r="J876" s="4" t="s">
        <v>23</v>
      </c>
      <c r="K876" s="4" t="s">
        <v>20</v>
      </c>
      <c r="L876" s="9">
        <v>45384</v>
      </c>
      <c r="M876" s="9" t="str">
        <f>TEXT(Source_data[[#This Row],[Listing_Date]],"mmm-yy")</f>
        <v>Apr-24</v>
      </c>
      <c r="N876" s="4">
        <f t="shared" si="13"/>
        <v>5070.2484254723586</v>
      </c>
      <c r="O876" s="3" cm="1">
        <f t="array" ref="O876">_xlfn.IFS(AND(K876="Broker",J876="Resale"),F876*0.5,AND(K876="Owner",J876="Resale"),F876*0,AND(K876="Builder",J876="Resale"),F876*0.3,AND(J876="New",K876="Broker"),F876*0.1,AND(J876="New",K876="Owner"),F876*0,AND(J876="New",K876="Builder"),F876*0.5)</f>
        <v>3622692.5</v>
      </c>
    </row>
    <row r="877" spans="1:15" x14ac:dyDescent="0.3">
      <c r="A877" s="8" t="s">
        <v>939</v>
      </c>
      <c r="B877" s="4" t="s">
        <v>842</v>
      </c>
      <c r="C877" s="4" t="s">
        <v>17</v>
      </c>
      <c r="D877" s="4">
        <v>2</v>
      </c>
      <c r="E877" s="4">
        <v>1101</v>
      </c>
      <c r="F877" s="4">
        <v>6617504</v>
      </c>
      <c r="G877" s="4">
        <v>2</v>
      </c>
      <c r="H877" s="4">
        <v>0</v>
      </c>
      <c r="I877" s="4" t="s">
        <v>18</v>
      </c>
      <c r="J877" s="4" t="s">
        <v>23</v>
      </c>
      <c r="K877" s="4" t="s">
        <v>20</v>
      </c>
      <c r="L877" s="9">
        <v>45839</v>
      </c>
      <c r="M877" s="9" t="str">
        <f>TEXT(Source_data[[#This Row],[Listing_Date]],"mmm-yy")</f>
        <v>Jul-25</v>
      </c>
      <c r="N877" s="4">
        <f t="shared" si="13"/>
        <v>6010.4486830154401</v>
      </c>
      <c r="O877" s="3" cm="1">
        <f t="array" ref="O877">_xlfn.IFS(AND(K877="Broker",J877="Resale"),F877*0.5,AND(K877="Owner",J877="Resale"),F877*0,AND(K877="Builder",J877="Resale"),F877*0.3,AND(J877="New",K877="Broker"),F877*0.1,AND(J877="New",K877="Owner"),F877*0,AND(J877="New",K877="Builder"),F877*0.5)</f>
        <v>3308752</v>
      </c>
    </row>
    <row r="878" spans="1:15" x14ac:dyDescent="0.3">
      <c r="A878" s="8" t="s">
        <v>940</v>
      </c>
      <c r="B878" s="4" t="s">
        <v>842</v>
      </c>
      <c r="C878" s="4" t="s">
        <v>843</v>
      </c>
      <c r="D878" s="4">
        <v>2</v>
      </c>
      <c r="E878" s="4">
        <v>849</v>
      </c>
      <c r="F878" s="4">
        <v>5873332</v>
      </c>
      <c r="G878" s="4">
        <v>3</v>
      </c>
      <c r="H878" s="4">
        <v>2</v>
      </c>
      <c r="I878" s="4" t="s">
        <v>8</v>
      </c>
      <c r="J878" s="4" t="s">
        <v>19</v>
      </c>
      <c r="K878" s="4" t="s">
        <v>24</v>
      </c>
      <c r="L878" s="9">
        <v>45171</v>
      </c>
      <c r="M878" s="9" t="str">
        <f>TEXT(Source_data[[#This Row],[Listing_Date]],"mmm-yy")</f>
        <v>Sep-23</v>
      </c>
      <c r="N878" s="4">
        <f t="shared" si="13"/>
        <v>6917.9411071849236</v>
      </c>
      <c r="O878" s="3" cm="1">
        <f t="array" ref="O878">_xlfn.IFS(AND(K878="Broker",J878="Resale"),F878*0.5,AND(K878="Owner",J878="Resale"),F878*0,AND(K878="Builder",J878="Resale"),F878*0.3,AND(J878="New",K878="Broker"),F878*0.1,AND(J878="New",K878="Owner"),F878*0,AND(J878="New",K878="Builder"),F878*0.5)</f>
        <v>2936666</v>
      </c>
    </row>
    <row r="879" spans="1:15" x14ac:dyDescent="0.3">
      <c r="A879" s="8" t="s">
        <v>941</v>
      </c>
      <c r="B879" s="4" t="s">
        <v>842</v>
      </c>
      <c r="C879" s="4" t="s">
        <v>847</v>
      </c>
      <c r="D879" s="4">
        <v>2</v>
      </c>
      <c r="E879" s="4">
        <v>694</v>
      </c>
      <c r="F879" s="4">
        <v>4399720</v>
      </c>
      <c r="G879" s="4">
        <v>2</v>
      </c>
      <c r="H879" s="4">
        <v>1</v>
      </c>
      <c r="I879" s="4" t="s">
        <v>27</v>
      </c>
      <c r="J879" s="4" t="s">
        <v>23</v>
      </c>
      <c r="K879" s="4" t="s">
        <v>24</v>
      </c>
      <c r="L879" s="9">
        <v>45013</v>
      </c>
      <c r="M879" s="9" t="str">
        <f>TEXT(Source_data[[#This Row],[Listing_Date]],"mmm-yy")</f>
        <v>Mar-23</v>
      </c>
      <c r="N879" s="4">
        <f t="shared" si="13"/>
        <v>6339.6541786743519</v>
      </c>
      <c r="O879" s="3" cm="1">
        <f t="array" ref="O879">_xlfn.IFS(AND(K879="Broker",J879="Resale"),F879*0.5,AND(K879="Owner",J879="Resale"),F879*0,AND(K879="Builder",J879="Resale"),F879*0.3,AND(J879="New",K879="Broker"),F879*0.1,AND(J879="New",K879="Owner"),F879*0,AND(J879="New",K879="Builder"),F879*0.5)</f>
        <v>1319916</v>
      </c>
    </row>
    <row r="880" spans="1:15" x14ac:dyDescent="0.3">
      <c r="A880" s="8" t="s">
        <v>942</v>
      </c>
      <c r="B880" s="4" t="s">
        <v>842</v>
      </c>
      <c r="C880" s="4" t="s">
        <v>843</v>
      </c>
      <c r="D880" s="4">
        <v>2</v>
      </c>
      <c r="E880" s="4">
        <v>918</v>
      </c>
      <c r="F880" s="4">
        <v>5174599</v>
      </c>
      <c r="G880" s="4">
        <v>2</v>
      </c>
      <c r="H880" s="4">
        <v>0</v>
      </c>
      <c r="I880" s="4" t="s">
        <v>8</v>
      </c>
      <c r="J880" s="4" t="s">
        <v>23</v>
      </c>
      <c r="K880" s="4" t="s">
        <v>36</v>
      </c>
      <c r="L880" s="9">
        <v>45550</v>
      </c>
      <c r="M880" s="9" t="str">
        <f>TEXT(Source_data[[#This Row],[Listing_Date]],"mmm-yy")</f>
        <v>Sep-24</v>
      </c>
      <c r="N880" s="4">
        <f t="shared" si="13"/>
        <v>5636.8180827886708</v>
      </c>
      <c r="O880" s="3" cm="1">
        <f t="array" ref="O880">_xlfn.IFS(AND(K880="Broker",J880="Resale"),F880*0.5,AND(K880="Owner",J880="Resale"),F880*0,AND(K880="Builder",J880="Resale"),F880*0.3,AND(J880="New",K880="Broker"),F880*0.1,AND(J880="New",K880="Owner"),F880*0,AND(J880="New",K880="Builder"),F880*0.5)</f>
        <v>0</v>
      </c>
    </row>
    <row r="881" spans="1:15" x14ac:dyDescent="0.3">
      <c r="A881" s="8" t="s">
        <v>943</v>
      </c>
      <c r="B881" s="4" t="s">
        <v>842</v>
      </c>
      <c r="C881" s="4" t="s">
        <v>864</v>
      </c>
      <c r="D881" s="4">
        <v>3</v>
      </c>
      <c r="E881" s="4">
        <v>1331</v>
      </c>
      <c r="F881" s="4">
        <v>7444624</v>
      </c>
      <c r="G881" s="4">
        <v>3</v>
      </c>
      <c r="H881" s="4">
        <v>2</v>
      </c>
      <c r="I881" s="4" t="s">
        <v>27</v>
      </c>
      <c r="J881" s="4" t="s">
        <v>19</v>
      </c>
      <c r="K881" s="4" t="s">
        <v>20</v>
      </c>
      <c r="L881" s="9">
        <v>45631</v>
      </c>
      <c r="M881" s="9" t="str">
        <f>TEXT(Source_data[[#This Row],[Listing_Date]],"mmm-yy")</f>
        <v>Dec-24</v>
      </c>
      <c r="N881" s="4">
        <f t="shared" si="13"/>
        <v>5593.2561983471078</v>
      </c>
      <c r="O881" s="3" cm="1">
        <f t="array" ref="O881">_xlfn.IFS(AND(K881="Broker",J881="Resale"),F881*0.5,AND(K881="Owner",J881="Resale"),F881*0,AND(K881="Builder",J881="Resale"),F881*0.3,AND(J881="New",K881="Broker"),F881*0.1,AND(J881="New",K881="Owner"),F881*0,AND(J881="New",K881="Builder"),F881*0.5)</f>
        <v>744462.4</v>
      </c>
    </row>
    <row r="882" spans="1:15" x14ac:dyDescent="0.3">
      <c r="A882" s="8" t="s">
        <v>944</v>
      </c>
      <c r="B882" s="4" t="s">
        <v>842</v>
      </c>
      <c r="C882" s="4" t="s">
        <v>17</v>
      </c>
      <c r="D882" s="4">
        <v>3</v>
      </c>
      <c r="E882" s="4">
        <v>1352</v>
      </c>
      <c r="F882" s="4">
        <v>7201991</v>
      </c>
      <c r="G882" s="4">
        <v>3</v>
      </c>
      <c r="H882" s="4">
        <v>3</v>
      </c>
      <c r="I882" s="4" t="s">
        <v>18</v>
      </c>
      <c r="J882" s="4" t="s">
        <v>19</v>
      </c>
      <c r="K882" s="4" t="s">
        <v>24</v>
      </c>
      <c r="L882" s="9">
        <v>45094</v>
      </c>
      <c r="M882" s="9" t="str">
        <f>TEXT(Source_data[[#This Row],[Listing_Date]],"mmm-yy")</f>
        <v>Jun-23</v>
      </c>
      <c r="N882" s="4">
        <f t="shared" si="13"/>
        <v>5326.916420118343</v>
      </c>
      <c r="O882" s="3" cm="1">
        <f t="array" ref="O882">_xlfn.IFS(AND(K882="Broker",J882="Resale"),F882*0.5,AND(K882="Owner",J882="Resale"),F882*0,AND(K882="Builder",J882="Resale"),F882*0.3,AND(J882="New",K882="Broker"),F882*0.1,AND(J882="New",K882="Owner"),F882*0,AND(J882="New",K882="Builder"),F882*0.5)</f>
        <v>3600995.5</v>
      </c>
    </row>
    <row r="883" spans="1:15" x14ac:dyDescent="0.3">
      <c r="A883" s="8" t="s">
        <v>945</v>
      </c>
      <c r="B883" s="4" t="s">
        <v>842</v>
      </c>
      <c r="C883" s="4" t="s">
        <v>17</v>
      </c>
      <c r="D883" s="4">
        <v>3</v>
      </c>
      <c r="E883" s="4">
        <v>488</v>
      </c>
      <c r="F883" s="4">
        <v>2918514</v>
      </c>
      <c r="G883" s="4">
        <v>3</v>
      </c>
      <c r="H883" s="4">
        <v>2</v>
      </c>
      <c r="I883" s="4" t="s">
        <v>18</v>
      </c>
      <c r="J883" s="4" t="s">
        <v>19</v>
      </c>
      <c r="K883" s="4" t="s">
        <v>36</v>
      </c>
      <c r="L883" s="9">
        <v>45493</v>
      </c>
      <c r="M883" s="9" t="str">
        <f>TEXT(Source_data[[#This Row],[Listing_Date]],"mmm-yy")</f>
        <v>Jul-24</v>
      </c>
      <c r="N883" s="4">
        <f t="shared" si="13"/>
        <v>5980.561475409836</v>
      </c>
      <c r="O883" s="3" cm="1">
        <f t="array" ref="O883">_xlfn.IFS(AND(K883="Broker",J883="Resale"),F883*0.5,AND(K883="Owner",J883="Resale"),F883*0,AND(K883="Builder",J883="Resale"),F883*0.3,AND(J883="New",K883="Broker"),F883*0.1,AND(J883="New",K883="Owner"),F883*0,AND(J883="New",K883="Builder"),F883*0.5)</f>
        <v>0</v>
      </c>
    </row>
    <row r="884" spans="1:15" x14ac:dyDescent="0.3">
      <c r="A884" s="8" t="s">
        <v>946</v>
      </c>
      <c r="B884" s="4" t="s">
        <v>842</v>
      </c>
      <c r="C884" s="4" t="s">
        <v>17</v>
      </c>
      <c r="D884" s="4">
        <v>3</v>
      </c>
      <c r="E884" s="4">
        <v>1317</v>
      </c>
      <c r="F884" s="4">
        <v>7050745</v>
      </c>
      <c r="G884" s="4">
        <v>2</v>
      </c>
      <c r="H884" s="4">
        <v>0</v>
      </c>
      <c r="I884" s="4" t="s">
        <v>8</v>
      </c>
      <c r="J884" s="4" t="s">
        <v>19</v>
      </c>
      <c r="K884" s="4" t="s">
        <v>24</v>
      </c>
      <c r="L884" s="9">
        <v>45283</v>
      </c>
      <c r="M884" s="9" t="str">
        <f>TEXT(Source_data[[#This Row],[Listing_Date]],"mmm-yy")</f>
        <v>Dec-23</v>
      </c>
      <c r="N884" s="4">
        <f t="shared" si="13"/>
        <v>5353.6408504176161</v>
      </c>
      <c r="O884" s="3" cm="1">
        <f t="array" ref="O884">_xlfn.IFS(AND(K884="Broker",J884="Resale"),F884*0.5,AND(K884="Owner",J884="Resale"),F884*0,AND(K884="Builder",J884="Resale"),F884*0.3,AND(J884="New",K884="Broker"),F884*0.1,AND(J884="New",K884="Owner"),F884*0,AND(J884="New",K884="Builder"),F884*0.5)</f>
        <v>3525372.5</v>
      </c>
    </row>
    <row r="885" spans="1:15" x14ac:dyDescent="0.3">
      <c r="A885" s="8" t="s">
        <v>947</v>
      </c>
      <c r="B885" s="4" t="s">
        <v>842</v>
      </c>
      <c r="C885" s="4" t="s">
        <v>857</v>
      </c>
      <c r="D885" s="4">
        <v>3</v>
      </c>
      <c r="E885" s="4">
        <v>1523</v>
      </c>
      <c r="F885" s="4">
        <v>7927818</v>
      </c>
      <c r="G885" s="4">
        <v>3</v>
      </c>
      <c r="H885" s="4">
        <v>0</v>
      </c>
      <c r="I885" s="4" t="s">
        <v>27</v>
      </c>
      <c r="J885" s="4" t="s">
        <v>23</v>
      </c>
      <c r="K885" s="4" t="s">
        <v>24</v>
      </c>
      <c r="L885" s="9">
        <v>45184</v>
      </c>
      <c r="M885" s="9" t="str">
        <f>TEXT(Source_data[[#This Row],[Listing_Date]],"mmm-yy")</f>
        <v>Sep-23</v>
      </c>
      <c r="N885" s="4">
        <f t="shared" si="13"/>
        <v>5205.3959290873272</v>
      </c>
      <c r="O885" s="3" cm="1">
        <f t="array" ref="O885">_xlfn.IFS(AND(K885="Broker",J885="Resale"),F885*0.5,AND(K885="Owner",J885="Resale"),F885*0,AND(K885="Builder",J885="Resale"),F885*0.3,AND(J885="New",K885="Broker"),F885*0.1,AND(J885="New",K885="Owner"),F885*0,AND(J885="New",K885="Builder"),F885*0.5)</f>
        <v>2378345.4</v>
      </c>
    </row>
    <row r="886" spans="1:15" x14ac:dyDescent="0.3">
      <c r="A886" s="8" t="s">
        <v>948</v>
      </c>
      <c r="B886" s="4" t="s">
        <v>842</v>
      </c>
      <c r="C886" s="4" t="s">
        <v>857</v>
      </c>
      <c r="D886" s="4">
        <v>2</v>
      </c>
      <c r="E886" s="4">
        <v>1350</v>
      </c>
      <c r="F886" s="4">
        <v>8557892</v>
      </c>
      <c r="G886" s="4">
        <v>1</v>
      </c>
      <c r="H886" s="4">
        <v>1</v>
      </c>
      <c r="I886" s="4" t="s">
        <v>27</v>
      </c>
      <c r="J886" s="4" t="s">
        <v>19</v>
      </c>
      <c r="K886" s="4" t="s">
        <v>20</v>
      </c>
      <c r="L886" s="9">
        <v>45636</v>
      </c>
      <c r="M886" s="9" t="str">
        <f>TEXT(Source_data[[#This Row],[Listing_Date]],"mmm-yy")</f>
        <v>Dec-24</v>
      </c>
      <c r="N886" s="4">
        <f t="shared" si="13"/>
        <v>6339.1792592592592</v>
      </c>
      <c r="O886" s="3" cm="1">
        <f t="array" ref="O886">_xlfn.IFS(AND(K886="Broker",J886="Resale"),F886*0.5,AND(K886="Owner",J886="Resale"),F886*0,AND(K886="Builder",J886="Resale"),F886*0.3,AND(J886="New",K886="Broker"),F886*0.1,AND(J886="New",K886="Owner"),F886*0,AND(J886="New",K886="Builder"),F886*0.5)</f>
        <v>855789.20000000007</v>
      </c>
    </row>
    <row r="887" spans="1:15" x14ac:dyDescent="0.3">
      <c r="A887" s="8" t="s">
        <v>949</v>
      </c>
      <c r="B887" s="4" t="s">
        <v>842</v>
      </c>
      <c r="C887" s="4" t="s">
        <v>864</v>
      </c>
      <c r="D887" s="4">
        <v>4</v>
      </c>
      <c r="E887" s="4">
        <v>1911</v>
      </c>
      <c r="F887" s="4">
        <v>15966757</v>
      </c>
      <c r="G887" s="4">
        <v>3</v>
      </c>
      <c r="H887" s="4">
        <v>1</v>
      </c>
      <c r="I887" s="4" t="s">
        <v>27</v>
      </c>
      <c r="J887" s="4" t="s">
        <v>19</v>
      </c>
      <c r="K887" s="4" t="s">
        <v>36</v>
      </c>
      <c r="L887" s="9">
        <v>44980</v>
      </c>
      <c r="M887" s="9" t="str">
        <f>TEXT(Source_data[[#This Row],[Listing_Date]],"mmm-yy")</f>
        <v>Feb-23</v>
      </c>
      <c r="N887" s="4">
        <f t="shared" si="13"/>
        <v>8355.1841967556247</v>
      </c>
      <c r="O887" s="3" cm="1">
        <f t="array" ref="O887">_xlfn.IFS(AND(K887="Broker",J887="Resale"),F887*0.5,AND(K887="Owner",J887="Resale"),F887*0,AND(K887="Builder",J887="Resale"),F887*0.3,AND(J887="New",K887="Broker"),F887*0.1,AND(J887="New",K887="Owner"),F887*0,AND(J887="New",K887="Builder"),F887*0.5)</f>
        <v>0</v>
      </c>
    </row>
    <row r="888" spans="1:15" x14ac:dyDescent="0.3">
      <c r="A888" s="8" t="s">
        <v>950</v>
      </c>
      <c r="B888" s="4" t="s">
        <v>842</v>
      </c>
      <c r="C888" s="4" t="s">
        <v>857</v>
      </c>
      <c r="D888" s="4">
        <v>2</v>
      </c>
      <c r="E888" s="4">
        <v>694</v>
      </c>
      <c r="F888" s="4">
        <v>3587673</v>
      </c>
      <c r="G888" s="4">
        <v>2</v>
      </c>
      <c r="H888" s="4">
        <v>2</v>
      </c>
      <c r="I888" s="4" t="s">
        <v>18</v>
      </c>
      <c r="J888" s="4" t="s">
        <v>23</v>
      </c>
      <c r="K888" s="4" t="s">
        <v>36</v>
      </c>
      <c r="L888" s="9">
        <v>45030</v>
      </c>
      <c r="M888" s="9" t="str">
        <f>TEXT(Source_data[[#This Row],[Listing_Date]],"mmm-yy")</f>
        <v>Apr-23</v>
      </c>
      <c r="N888" s="4">
        <f t="shared" si="13"/>
        <v>5169.5576368876082</v>
      </c>
      <c r="O888" s="3" cm="1">
        <f t="array" ref="O888">_xlfn.IFS(AND(K888="Broker",J888="Resale"),F888*0.5,AND(K888="Owner",J888="Resale"),F888*0,AND(K888="Builder",J888="Resale"),F888*0.3,AND(J888="New",K888="Broker"),F888*0.1,AND(J888="New",K888="Owner"),F888*0,AND(J888="New",K888="Builder"),F888*0.5)</f>
        <v>0</v>
      </c>
    </row>
    <row r="889" spans="1:15" x14ac:dyDescent="0.3">
      <c r="A889" s="8" t="s">
        <v>951</v>
      </c>
      <c r="B889" s="4" t="s">
        <v>842</v>
      </c>
      <c r="C889" s="4" t="s">
        <v>17</v>
      </c>
      <c r="D889" s="4">
        <v>4</v>
      </c>
      <c r="E889" s="4">
        <v>2159</v>
      </c>
      <c r="F889" s="4">
        <v>11689678</v>
      </c>
      <c r="G889" s="4">
        <v>4</v>
      </c>
      <c r="H889" s="4">
        <v>2</v>
      </c>
      <c r="I889" s="4" t="s">
        <v>27</v>
      </c>
      <c r="J889" s="4" t="s">
        <v>23</v>
      </c>
      <c r="K889" s="4" t="s">
        <v>20</v>
      </c>
      <c r="L889" s="9">
        <v>45777</v>
      </c>
      <c r="M889" s="9" t="str">
        <f>TEXT(Source_data[[#This Row],[Listing_Date]],"mmm-yy")</f>
        <v>Apr-25</v>
      </c>
      <c r="N889" s="4">
        <f t="shared" si="13"/>
        <v>5414.3946271421955</v>
      </c>
      <c r="O889" s="3" cm="1">
        <f t="array" ref="O889">_xlfn.IFS(AND(K889="Broker",J889="Resale"),F889*0.5,AND(K889="Owner",J889="Resale"),F889*0,AND(K889="Builder",J889="Resale"),F889*0.3,AND(J889="New",K889="Broker"),F889*0.1,AND(J889="New",K889="Owner"),F889*0,AND(J889="New",K889="Builder"),F889*0.5)</f>
        <v>5844839</v>
      </c>
    </row>
    <row r="890" spans="1:15" x14ac:dyDescent="0.3">
      <c r="A890" s="8" t="s">
        <v>952</v>
      </c>
      <c r="B890" s="4" t="s">
        <v>842</v>
      </c>
      <c r="C890" s="4" t="s">
        <v>857</v>
      </c>
      <c r="D890" s="4">
        <v>2</v>
      </c>
      <c r="E890" s="4">
        <v>775</v>
      </c>
      <c r="F890" s="4">
        <v>5027715</v>
      </c>
      <c r="G890" s="4">
        <v>3</v>
      </c>
      <c r="H890" s="4">
        <v>1</v>
      </c>
      <c r="I890" s="4" t="s">
        <v>8</v>
      </c>
      <c r="J890" s="4" t="s">
        <v>23</v>
      </c>
      <c r="K890" s="4" t="s">
        <v>36</v>
      </c>
      <c r="L890" s="9">
        <v>45472</v>
      </c>
      <c r="M890" s="9" t="str">
        <f>TEXT(Source_data[[#This Row],[Listing_Date]],"mmm-yy")</f>
        <v>Jun-24</v>
      </c>
      <c r="N890" s="4">
        <f t="shared" si="13"/>
        <v>6487.3741935483868</v>
      </c>
      <c r="O890" s="3" cm="1">
        <f t="array" ref="O890">_xlfn.IFS(AND(K890="Broker",J890="Resale"),F890*0.5,AND(K890="Owner",J890="Resale"),F890*0,AND(K890="Builder",J890="Resale"),F890*0.3,AND(J890="New",K890="Broker"),F890*0.1,AND(J890="New",K890="Owner"),F890*0,AND(J890="New",K890="Builder"),F890*0.5)</f>
        <v>0</v>
      </c>
    </row>
    <row r="891" spans="1:15" x14ac:dyDescent="0.3">
      <c r="A891" s="8" t="s">
        <v>953</v>
      </c>
      <c r="B891" s="4" t="s">
        <v>842</v>
      </c>
      <c r="C891" s="4" t="s">
        <v>17</v>
      </c>
      <c r="D891" s="4">
        <v>3</v>
      </c>
      <c r="E891" s="4">
        <v>1616</v>
      </c>
      <c r="F891" s="4">
        <v>8864079</v>
      </c>
      <c r="G891" s="4">
        <v>3</v>
      </c>
      <c r="H891" s="4">
        <v>0</v>
      </c>
      <c r="I891" s="4" t="s">
        <v>18</v>
      </c>
      <c r="J891" s="4" t="s">
        <v>19</v>
      </c>
      <c r="K891" s="4" t="s">
        <v>20</v>
      </c>
      <c r="L891" s="9">
        <v>45367</v>
      </c>
      <c r="M891" s="9" t="str">
        <f>TEXT(Source_data[[#This Row],[Listing_Date]],"mmm-yy")</f>
        <v>Mar-24</v>
      </c>
      <c r="N891" s="4">
        <f t="shared" si="13"/>
        <v>5485.1974009900987</v>
      </c>
      <c r="O891" s="3" cm="1">
        <f t="array" ref="O891">_xlfn.IFS(AND(K891="Broker",J891="Resale"),F891*0.5,AND(K891="Owner",J891="Resale"),F891*0,AND(K891="Builder",J891="Resale"),F891*0.3,AND(J891="New",K891="Broker"),F891*0.1,AND(J891="New",K891="Owner"),F891*0,AND(J891="New",K891="Builder"),F891*0.5)</f>
        <v>886407.9</v>
      </c>
    </row>
    <row r="892" spans="1:15" x14ac:dyDescent="0.3">
      <c r="A892" s="8" t="s">
        <v>954</v>
      </c>
      <c r="B892" s="4" t="s">
        <v>842</v>
      </c>
      <c r="C892" s="4" t="s">
        <v>847</v>
      </c>
      <c r="D892" s="4">
        <v>2</v>
      </c>
      <c r="E892" s="4">
        <v>1062</v>
      </c>
      <c r="F892" s="4">
        <v>5789196</v>
      </c>
      <c r="G892" s="4">
        <v>2</v>
      </c>
      <c r="H892" s="4">
        <v>2</v>
      </c>
      <c r="I892" s="4" t="s">
        <v>8</v>
      </c>
      <c r="J892" s="4" t="s">
        <v>23</v>
      </c>
      <c r="K892" s="4" t="s">
        <v>20</v>
      </c>
      <c r="L892" s="9">
        <v>45161</v>
      </c>
      <c r="M892" s="9" t="str">
        <f>TEXT(Source_data[[#This Row],[Listing_Date]],"mmm-yy")</f>
        <v>Aug-23</v>
      </c>
      <c r="N892" s="4">
        <f t="shared" si="13"/>
        <v>5451.2203389830511</v>
      </c>
      <c r="O892" s="3" cm="1">
        <f t="array" ref="O892">_xlfn.IFS(AND(K892="Broker",J892="Resale"),F892*0.5,AND(K892="Owner",J892="Resale"),F892*0,AND(K892="Builder",J892="Resale"),F892*0.3,AND(J892="New",K892="Broker"),F892*0.1,AND(J892="New",K892="Owner"),F892*0,AND(J892="New",K892="Builder"),F892*0.5)</f>
        <v>2894598</v>
      </c>
    </row>
    <row r="893" spans="1:15" x14ac:dyDescent="0.3">
      <c r="A893" s="8" t="s">
        <v>955</v>
      </c>
      <c r="B893" s="4" t="s">
        <v>842</v>
      </c>
      <c r="C893" s="4" t="s">
        <v>864</v>
      </c>
      <c r="D893" s="4">
        <v>2</v>
      </c>
      <c r="E893" s="4">
        <v>679</v>
      </c>
      <c r="F893" s="4">
        <v>4872741</v>
      </c>
      <c r="G893" s="4">
        <v>2</v>
      </c>
      <c r="H893" s="4">
        <v>1</v>
      </c>
      <c r="I893" s="4" t="s">
        <v>18</v>
      </c>
      <c r="J893" s="4" t="s">
        <v>23</v>
      </c>
      <c r="K893" s="4" t="s">
        <v>20</v>
      </c>
      <c r="L893" s="9">
        <v>45626</v>
      </c>
      <c r="M893" s="9" t="str">
        <f>TEXT(Source_data[[#This Row],[Listing_Date]],"mmm-yy")</f>
        <v>Nov-24</v>
      </c>
      <c r="N893" s="4">
        <f t="shared" si="13"/>
        <v>7176.3490427098677</v>
      </c>
      <c r="O893" s="3" cm="1">
        <f t="array" ref="O893">_xlfn.IFS(AND(K893="Broker",J893="Resale"),F893*0.5,AND(K893="Owner",J893="Resale"),F893*0,AND(K893="Builder",J893="Resale"),F893*0.3,AND(J893="New",K893="Broker"),F893*0.1,AND(J893="New",K893="Owner"),F893*0,AND(J893="New",K893="Builder"),F893*0.5)</f>
        <v>2436370.5</v>
      </c>
    </row>
    <row r="894" spans="1:15" x14ac:dyDescent="0.3">
      <c r="A894" s="8" t="s">
        <v>956</v>
      </c>
      <c r="B894" s="4" t="s">
        <v>842</v>
      </c>
      <c r="C894" s="4" t="s">
        <v>847</v>
      </c>
      <c r="D894" s="4">
        <v>4</v>
      </c>
      <c r="E894" s="4">
        <v>1521</v>
      </c>
      <c r="F894" s="4">
        <v>7329198</v>
      </c>
      <c r="G894" s="4">
        <v>3</v>
      </c>
      <c r="H894" s="4">
        <v>1</v>
      </c>
      <c r="I894" s="4" t="s">
        <v>18</v>
      </c>
      <c r="J894" s="4" t="s">
        <v>23</v>
      </c>
      <c r="K894" s="4" t="s">
        <v>20</v>
      </c>
      <c r="L894" s="9">
        <v>45024</v>
      </c>
      <c r="M894" s="9" t="str">
        <f>TEXT(Source_data[[#This Row],[Listing_Date]],"mmm-yy")</f>
        <v>Apr-23</v>
      </c>
      <c r="N894" s="4">
        <f t="shared" si="13"/>
        <v>4818.6706114398421</v>
      </c>
      <c r="O894" s="3" cm="1">
        <f t="array" ref="O894">_xlfn.IFS(AND(K894="Broker",J894="Resale"),F894*0.5,AND(K894="Owner",J894="Resale"),F894*0,AND(K894="Builder",J894="Resale"),F894*0.3,AND(J894="New",K894="Broker"),F894*0.1,AND(J894="New",K894="Owner"),F894*0,AND(J894="New",K894="Builder"),F894*0.5)</f>
        <v>3664599</v>
      </c>
    </row>
    <row r="895" spans="1:15" x14ac:dyDescent="0.3">
      <c r="A895" s="8" t="s">
        <v>957</v>
      </c>
      <c r="B895" s="4" t="s">
        <v>842</v>
      </c>
      <c r="C895" s="4" t="s">
        <v>847</v>
      </c>
      <c r="D895" s="4">
        <v>3</v>
      </c>
      <c r="E895" s="4">
        <v>1565</v>
      </c>
      <c r="F895" s="4">
        <v>7864368</v>
      </c>
      <c r="G895" s="4">
        <v>4</v>
      </c>
      <c r="H895" s="4">
        <v>1</v>
      </c>
      <c r="I895" s="4" t="s">
        <v>27</v>
      </c>
      <c r="J895" s="4" t="s">
        <v>19</v>
      </c>
      <c r="K895" s="4" t="s">
        <v>36</v>
      </c>
      <c r="L895" s="9">
        <v>45470</v>
      </c>
      <c r="M895" s="9" t="str">
        <f>TEXT(Source_data[[#This Row],[Listing_Date]],"mmm-yy")</f>
        <v>Jun-24</v>
      </c>
      <c r="N895" s="4">
        <f t="shared" si="13"/>
        <v>5025.1552715654952</v>
      </c>
      <c r="O895" s="3" cm="1">
        <f t="array" ref="O895">_xlfn.IFS(AND(K895="Broker",J895="Resale"),F895*0.5,AND(K895="Owner",J895="Resale"),F895*0,AND(K895="Builder",J895="Resale"),F895*0.3,AND(J895="New",K895="Broker"),F895*0.1,AND(J895="New",K895="Owner"),F895*0,AND(J895="New",K895="Builder"),F895*0.5)</f>
        <v>0</v>
      </c>
    </row>
    <row r="896" spans="1:15" x14ac:dyDescent="0.3">
      <c r="A896" s="8" t="s">
        <v>958</v>
      </c>
      <c r="B896" s="4" t="s">
        <v>842</v>
      </c>
      <c r="C896" s="4" t="s">
        <v>864</v>
      </c>
      <c r="D896" s="4">
        <v>4</v>
      </c>
      <c r="E896" s="4">
        <v>1853</v>
      </c>
      <c r="F896" s="4">
        <v>10313392</v>
      </c>
      <c r="G896" s="4">
        <v>3</v>
      </c>
      <c r="H896" s="4">
        <v>1</v>
      </c>
      <c r="I896" s="4" t="s">
        <v>8</v>
      </c>
      <c r="J896" s="4" t="s">
        <v>19</v>
      </c>
      <c r="K896" s="4" t="s">
        <v>24</v>
      </c>
      <c r="L896" s="9">
        <v>45386</v>
      </c>
      <c r="M896" s="9" t="str">
        <f>TEXT(Source_data[[#This Row],[Listing_Date]],"mmm-yy")</f>
        <v>Apr-24</v>
      </c>
      <c r="N896" s="4">
        <f t="shared" si="13"/>
        <v>5565.7808958445767</v>
      </c>
      <c r="O896" s="3" cm="1">
        <f t="array" ref="O896">_xlfn.IFS(AND(K896="Broker",J896="Resale"),F896*0.5,AND(K896="Owner",J896="Resale"),F896*0,AND(K896="Builder",J896="Resale"),F896*0.3,AND(J896="New",K896="Broker"),F896*0.1,AND(J896="New",K896="Owner"),F896*0,AND(J896="New",K896="Builder"),F896*0.5)</f>
        <v>5156696</v>
      </c>
    </row>
    <row r="897" spans="1:15" x14ac:dyDescent="0.3">
      <c r="A897" s="8" t="s">
        <v>959</v>
      </c>
      <c r="B897" s="4" t="s">
        <v>842</v>
      </c>
      <c r="C897" s="4" t="s">
        <v>847</v>
      </c>
      <c r="D897" s="4">
        <v>4</v>
      </c>
      <c r="E897" s="4">
        <v>1902</v>
      </c>
      <c r="F897" s="4">
        <v>8951937</v>
      </c>
      <c r="G897" s="4">
        <v>4</v>
      </c>
      <c r="H897" s="4">
        <v>2</v>
      </c>
      <c r="I897" s="4" t="s">
        <v>27</v>
      </c>
      <c r="J897" s="4" t="s">
        <v>19</v>
      </c>
      <c r="K897" s="4" t="s">
        <v>24</v>
      </c>
      <c r="L897" s="9">
        <v>45733</v>
      </c>
      <c r="M897" s="9" t="str">
        <f>TEXT(Source_data[[#This Row],[Listing_Date]],"mmm-yy")</f>
        <v>Mar-25</v>
      </c>
      <c r="N897" s="4">
        <f t="shared" si="13"/>
        <v>4706.591482649842</v>
      </c>
      <c r="O897" s="3" cm="1">
        <f t="array" ref="O897">_xlfn.IFS(AND(K897="Broker",J897="Resale"),F897*0.5,AND(K897="Owner",J897="Resale"),F897*0,AND(K897="Builder",J897="Resale"),F897*0.3,AND(J897="New",K897="Broker"),F897*0.1,AND(J897="New",K897="Owner"),F897*0,AND(J897="New",K897="Builder"),F897*0.5)</f>
        <v>4475968.5</v>
      </c>
    </row>
    <row r="898" spans="1:15" x14ac:dyDescent="0.3">
      <c r="A898" s="8" t="s">
        <v>960</v>
      </c>
      <c r="B898" s="4" t="s">
        <v>842</v>
      </c>
      <c r="C898" s="4" t="s">
        <v>847</v>
      </c>
      <c r="D898" s="4">
        <v>2</v>
      </c>
      <c r="E898" s="4">
        <v>927</v>
      </c>
      <c r="F898" s="4">
        <v>4018980</v>
      </c>
      <c r="G898" s="4">
        <v>2</v>
      </c>
      <c r="H898" s="4">
        <v>3</v>
      </c>
      <c r="I898" s="4" t="s">
        <v>27</v>
      </c>
      <c r="J898" s="4" t="s">
        <v>23</v>
      </c>
      <c r="K898" s="4" t="s">
        <v>24</v>
      </c>
      <c r="L898" s="9">
        <v>45612</v>
      </c>
      <c r="M898" s="9" t="str">
        <f>TEXT(Source_data[[#This Row],[Listing_Date]],"mmm-yy")</f>
        <v>Nov-24</v>
      </c>
      <c r="N898" s="4">
        <f t="shared" si="13"/>
        <v>4335.46925566343</v>
      </c>
      <c r="O898" s="3" cm="1">
        <f t="array" ref="O898">_xlfn.IFS(AND(K898="Broker",J898="Resale"),F898*0.5,AND(K898="Owner",J898="Resale"),F898*0,AND(K898="Builder",J898="Resale"),F898*0.3,AND(J898="New",K898="Broker"),F898*0.1,AND(J898="New",K898="Owner"),F898*0,AND(J898="New",K898="Builder"),F898*0.5)</f>
        <v>1205694</v>
      </c>
    </row>
    <row r="899" spans="1:15" x14ac:dyDescent="0.3">
      <c r="A899" s="8" t="s">
        <v>961</v>
      </c>
      <c r="B899" s="4" t="s">
        <v>842</v>
      </c>
      <c r="C899" s="4" t="s">
        <v>17</v>
      </c>
      <c r="D899" s="4">
        <v>3</v>
      </c>
      <c r="E899" s="4">
        <v>1685</v>
      </c>
      <c r="F899" s="4">
        <v>9150597</v>
      </c>
      <c r="G899" s="4">
        <v>3</v>
      </c>
      <c r="H899" s="4">
        <v>1</v>
      </c>
      <c r="I899" s="4" t="s">
        <v>67</v>
      </c>
      <c r="J899" s="4" t="s">
        <v>23</v>
      </c>
      <c r="K899" s="4" t="s">
        <v>36</v>
      </c>
      <c r="L899" s="9">
        <v>45437</v>
      </c>
      <c r="M899" s="9" t="str">
        <f>TEXT(Source_data[[#This Row],[Listing_Date]],"mmm-yy")</f>
        <v>May-24</v>
      </c>
      <c r="N899" s="4">
        <f t="shared" ref="N899:N962" si="14">F899/E899</f>
        <v>5430.6213649851634</v>
      </c>
      <c r="O899" s="3" cm="1">
        <f t="array" ref="O899">_xlfn.IFS(AND(K899="Broker",J899="Resale"),F899*0.5,AND(K899="Owner",J899="Resale"),F899*0,AND(K899="Builder",J899="Resale"),F899*0.3,AND(J899="New",K899="Broker"),F899*0.1,AND(J899="New",K899="Owner"),F899*0,AND(J899="New",K899="Builder"),F899*0.5)</f>
        <v>0</v>
      </c>
    </row>
    <row r="900" spans="1:15" x14ac:dyDescent="0.3">
      <c r="A900" s="8" t="s">
        <v>962</v>
      </c>
      <c r="B900" s="4" t="s">
        <v>842</v>
      </c>
      <c r="C900" s="4" t="s">
        <v>847</v>
      </c>
      <c r="D900" s="4">
        <v>2</v>
      </c>
      <c r="E900" s="4">
        <v>442</v>
      </c>
      <c r="F900" s="4">
        <v>2672950</v>
      </c>
      <c r="G900" s="4">
        <v>2</v>
      </c>
      <c r="H900" s="4">
        <v>1</v>
      </c>
      <c r="I900" s="4" t="s">
        <v>8</v>
      </c>
      <c r="J900" s="4" t="s">
        <v>23</v>
      </c>
      <c r="K900" s="4" t="s">
        <v>24</v>
      </c>
      <c r="L900" s="9">
        <v>45512</v>
      </c>
      <c r="M900" s="9" t="str">
        <f>TEXT(Source_data[[#This Row],[Listing_Date]],"mmm-yy")</f>
        <v>Aug-24</v>
      </c>
      <c r="N900" s="4">
        <f t="shared" si="14"/>
        <v>6047.3981900452491</v>
      </c>
      <c r="O900" s="3" cm="1">
        <f t="array" ref="O900">_xlfn.IFS(AND(K900="Broker",J900="Resale"),F900*0.5,AND(K900="Owner",J900="Resale"),F900*0,AND(K900="Builder",J900="Resale"),F900*0.3,AND(J900="New",K900="Broker"),F900*0.1,AND(J900="New",K900="Owner"),F900*0,AND(J900="New",K900="Builder"),F900*0.5)</f>
        <v>801885</v>
      </c>
    </row>
    <row r="901" spans="1:15" x14ac:dyDescent="0.3">
      <c r="A901" s="8" t="s">
        <v>963</v>
      </c>
      <c r="B901" s="4" t="s">
        <v>842</v>
      </c>
      <c r="C901" s="4" t="s">
        <v>864</v>
      </c>
      <c r="D901" s="4">
        <v>2</v>
      </c>
      <c r="E901" s="4">
        <v>893</v>
      </c>
      <c r="F901" s="4">
        <v>5487339</v>
      </c>
      <c r="G901" s="4">
        <v>2</v>
      </c>
      <c r="H901" s="4">
        <v>2</v>
      </c>
      <c r="I901" s="4" t="s">
        <v>18</v>
      </c>
      <c r="J901" s="4" t="s">
        <v>23</v>
      </c>
      <c r="K901" s="4" t="s">
        <v>20</v>
      </c>
      <c r="L901" s="9">
        <v>45896</v>
      </c>
      <c r="M901" s="9" t="str">
        <f>TEXT(Source_data[[#This Row],[Listing_Date]],"mmm-yy")</f>
        <v>Aug-25</v>
      </c>
      <c r="N901" s="4">
        <f t="shared" si="14"/>
        <v>6144.8365061590148</v>
      </c>
      <c r="O901" s="3" cm="1">
        <f t="array" ref="O901">_xlfn.IFS(AND(K901="Broker",J901="Resale"),F901*0.5,AND(K901="Owner",J901="Resale"),F901*0,AND(K901="Builder",J901="Resale"),F901*0.3,AND(J901="New",K901="Broker"),F901*0.1,AND(J901="New",K901="Owner"),F901*0,AND(J901="New",K901="Builder"),F901*0.5)</f>
        <v>2743669.5</v>
      </c>
    </row>
    <row r="902" spans="1:15" x14ac:dyDescent="0.3">
      <c r="A902" s="8" t="s">
        <v>964</v>
      </c>
      <c r="B902" s="4" t="s">
        <v>842</v>
      </c>
      <c r="C902" s="4" t="s">
        <v>843</v>
      </c>
      <c r="D902" s="4">
        <v>2</v>
      </c>
      <c r="E902" s="4">
        <v>1267</v>
      </c>
      <c r="F902" s="4">
        <v>9244992</v>
      </c>
      <c r="G902" s="4">
        <v>1</v>
      </c>
      <c r="H902" s="4">
        <v>0</v>
      </c>
      <c r="I902" s="4" t="s">
        <v>8</v>
      </c>
      <c r="J902" s="4" t="s">
        <v>23</v>
      </c>
      <c r="K902" s="4" t="s">
        <v>24</v>
      </c>
      <c r="L902" s="9">
        <v>45166</v>
      </c>
      <c r="M902" s="9" t="str">
        <f>TEXT(Source_data[[#This Row],[Listing_Date]],"mmm-yy")</f>
        <v>Aug-23</v>
      </c>
      <c r="N902" s="4">
        <f t="shared" si="14"/>
        <v>7296.7576953433309</v>
      </c>
      <c r="O902" s="3" cm="1">
        <f t="array" ref="O902">_xlfn.IFS(AND(K902="Broker",J902="Resale"),F902*0.5,AND(K902="Owner",J902="Resale"),F902*0,AND(K902="Builder",J902="Resale"),F902*0.3,AND(J902="New",K902="Broker"),F902*0.1,AND(J902="New",K902="Owner"),F902*0,AND(J902="New",K902="Builder"),F902*0.5)</f>
        <v>2773497.6</v>
      </c>
    </row>
    <row r="903" spans="1:15" x14ac:dyDescent="0.3">
      <c r="A903" s="8" t="s">
        <v>965</v>
      </c>
      <c r="B903" s="4" t="s">
        <v>842</v>
      </c>
      <c r="C903" s="4" t="s">
        <v>843</v>
      </c>
      <c r="D903" s="4">
        <v>3</v>
      </c>
      <c r="E903" s="4">
        <v>1040</v>
      </c>
      <c r="F903" s="4">
        <v>4803743</v>
      </c>
      <c r="G903" s="4">
        <v>3</v>
      </c>
      <c r="H903" s="4">
        <v>2</v>
      </c>
      <c r="I903" s="4" t="s">
        <v>8</v>
      </c>
      <c r="J903" s="4" t="s">
        <v>19</v>
      </c>
      <c r="K903" s="4" t="s">
        <v>24</v>
      </c>
      <c r="L903" s="9">
        <v>45774</v>
      </c>
      <c r="M903" s="9" t="str">
        <f>TEXT(Source_data[[#This Row],[Listing_Date]],"mmm-yy")</f>
        <v>Apr-25</v>
      </c>
      <c r="N903" s="4">
        <f t="shared" si="14"/>
        <v>4618.9836538461541</v>
      </c>
      <c r="O903" s="3" cm="1">
        <f t="array" ref="O903">_xlfn.IFS(AND(K903="Broker",J903="Resale"),F903*0.5,AND(K903="Owner",J903="Resale"),F903*0,AND(K903="Builder",J903="Resale"),F903*0.3,AND(J903="New",K903="Broker"),F903*0.1,AND(J903="New",K903="Owner"),F903*0,AND(J903="New",K903="Builder"),F903*0.5)</f>
        <v>2401871.5</v>
      </c>
    </row>
    <row r="904" spans="1:15" x14ac:dyDescent="0.3">
      <c r="A904" s="8" t="s">
        <v>966</v>
      </c>
      <c r="B904" s="4" t="s">
        <v>842</v>
      </c>
      <c r="C904" s="4" t="s">
        <v>857</v>
      </c>
      <c r="D904" s="4">
        <v>3</v>
      </c>
      <c r="E904" s="4">
        <v>1053</v>
      </c>
      <c r="F904" s="4">
        <v>5293944</v>
      </c>
      <c r="G904" s="4">
        <v>2</v>
      </c>
      <c r="H904" s="4">
        <v>1</v>
      </c>
      <c r="I904" s="4" t="s">
        <v>18</v>
      </c>
      <c r="J904" s="4" t="s">
        <v>23</v>
      </c>
      <c r="K904" s="4" t="s">
        <v>20</v>
      </c>
      <c r="L904" s="9">
        <v>45601</v>
      </c>
      <c r="M904" s="9" t="str">
        <f>TEXT(Source_data[[#This Row],[Listing_Date]],"mmm-yy")</f>
        <v>Nov-24</v>
      </c>
      <c r="N904" s="4">
        <f t="shared" si="14"/>
        <v>5027.4871794871797</v>
      </c>
      <c r="O904" s="3" cm="1">
        <f t="array" ref="O904">_xlfn.IFS(AND(K904="Broker",J904="Resale"),F904*0.5,AND(K904="Owner",J904="Resale"),F904*0,AND(K904="Builder",J904="Resale"),F904*0.3,AND(J904="New",K904="Broker"),F904*0.1,AND(J904="New",K904="Owner"),F904*0,AND(J904="New",K904="Builder"),F904*0.5)</f>
        <v>2646972</v>
      </c>
    </row>
    <row r="905" spans="1:15" x14ac:dyDescent="0.3">
      <c r="A905" s="8" t="s">
        <v>967</v>
      </c>
      <c r="B905" s="4" t="s">
        <v>842</v>
      </c>
      <c r="C905" s="4" t="s">
        <v>847</v>
      </c>
      <c r="D905" s="4">
        <v>1</v>
      </c>
      <c r="E905" s="4">
        <v>393</v>
      </c>
      <c r="F905" s="4">
        <v>1560760</v>
      </c>
      <c r="G905" s="4">
        <v>1</v>
      </c>
      <c r="H905" s="4">
        <v>4</v>
      </c>
      <c r="I905" s="4" t="s">
        <v>8</v>
      </c>
      <c r="J905" s="4" t="s">
        <v>23</v>
      </c>
      <c r="K905" s="4" t="s">
        <v>36</v>
      </c>
      <c r="L905" s="9">
        <v>45485</v>
      </c>
      <c r="M905" s="9" t="str">
        <f>TEXT(Source_data[[#This Row],[Listing_Date]],"mmm-yy")</f>
        <v>Jul-24</v>
      </c>
      <c r="N905" s="4">
        <f t="shared" si="14"/>
        <v>3971.3994910941474</v>
      </c>
      <c r="O905" s="3" cm="1">
        <f t="array" ref="O905">_xlfn.IFS(AND(K905="Broker",J905="Resale"),F905*0.5,AND(K905="Owner",J905="Resale"),F905*0,AND(K905="Builder",J905="Resale"),F905*0.3,AND(J905="New",K905="Broker"),F905*0.1,AND(J905="New",K905="Owner"),F905*0,AND(J905="New",K905="Builder"),F905*0.5)</f>
        <v>0</v>
      </c>
    </row>
    <row r="906" spans="1:15" x14ac:dyDescent="0.3">
      <c r="A906" s="8" t="s">
        <v>968</v>
      </c>
      <c r="B906" s="4" t="s">
        <v>842</v>
      </c>
      <c r="C906" s="4" t="s">
        <v>845</v>
      </c>
      <c r="D906" s="4">
        <v>2</v>
      </c>
      <c r="E906" s="4">
        <v>1155</v>
      </c>
      <c r="F906" s="4">
        <v>6372063</v>
      </c>
      <c r="G906" s="4">
        <v>2</v>
      </c>
      <c r="H906" s="4">
        <v>2</v>
      </c>
      <c r="I906" s="4" t="s">
        <v>27</v>
      </c>
      <c r="J906" s="4" t="s">
        <v>23</v>
      </c>
      <c r="K906" s="4" t="s">
        <v>24</v>
      </c>
      <c r="L906" s="9">
        <v>45304</v>
      </c>
      <c r="M906" s="9" t="str">
        <f>TEXT(Source_data[[#This Row],[Listing_Date]],"mmm-yy")</f>
        <v>Jan-24</v>
      </c>
      <c r="N906" s="4">
        <f t="shared" si="14"/>
        <v>5516.937662337662</v>
      </c>
      <c r="O906" s="3" cm="1">
        <f t="array" ref="O906">_xlfn.IFS(AND(K906="Broker",J906="Resale"),F906*0.5,AND(K906="Owner",J906="Resale"),F906*0,AND(K906="Builder",J906="Resale"),F906*0.3,AND(J906="New",K906="Broker"),F906*0.1,AND(J906="New",K906="Owner"),F906*0,AND(J906="New",K906="Builder"),F906*0.5)</f>
        <v>1911618.9</v>
      </c>
    </row>
    <row r="907" spans="1:15" x14ac:dyDescent="0.3">
      <c r="A907" s="8" t="s">
        <v>969</v>
      </c>
      <c r="B907" s="4" t="s">
        <v>842</v>
      </c>
      <c r="C907" s="4" t="s">
        <v>843</v>
      </c>
      <c r="D907" s="4">
        <v>1</v>
      </c>
      <c r="E907" s="4">
        <v>850</v>
      </c>
      <c r="F907" s="4">
        <v>3091725</v>
      </c>
      <c r="G907" s="4">
        <v>1</v>
      </c>
      <c r="H907" s="4">
        <v>1</v>
      </c>
      <c r="I907" s="4" t="s">
        <v>8</v>
      </c>
      <c r="J907" s="4" t="s">
        <v>23</v>
      </c>
      <c r="K907" s="4" t="s">
        <v>20</v>
      </c>
      <c r="L907" s="9">
        <v>45155</v>
      </c>
      <c r="M907" s="9" t="str">
        <f>TEXT(Source_data[[#This Row],[Listing_Date]],"mmm-yy")</f>
        <v>Aug-23</v>
      </c>
      <c r="N907" s="4">
        <f t="shared" si="14"/>
        <v>3637.3235294117649</v>
      </c>
      <c r="O907" s="3" cm="1">
        <f t="array" ref="O907">_xlfn.IFS(AND(K907="Broker",J907="Resale"),F907*0.5,AND(K907="Owner",J907="Resale"),F907*0,AND(K907="Builder",J907="Resale"),F907*0.3,AND(J907="New",K907="Broker"),F907*0.1,AND(J907="New",K907="Owner"),F907*0,AND(J907="New",K907="Builder"),F907*0.5)</f>
        <v>1545862.5</v>
      </c>
    </row>
    <row r="908" spans="1:15" x14ac:dyDescent="0.3">
      <c r="A908" s="8" t="s">
        <v>970</v>
      </c>
      <c r="B908" s="4" t="s">
        <v>842</v>
      </c>
      <c r="C908" s="4" t="s">
        <v>864</v>
      </c>
      <c r="D908" s="4">
        <v>3</v>
      </c>
      <c r="E908" s="4">
        <v>901</v>
      </c>
      <c r="F908" s="4">
        <v>4922315</v>
      </c>
      <c r="G908" s="4">
        <v>3</v>
      </c>
      <c r="H908" s="4">
        <v>0</v>
      </c>
      <c r="I908" s="4" t="s">
        <v>8</v>
      </c>
      <c r="J908" s="4" t="s">
        <v>19</v>
      </c>
      <c r="K908" s="4" t="s">
        <v>36</v>
      </c>
      <c r="L908" s="9">
        <v>45342</v>
      </c>
      <c r="M908" s="9" t="str">
        <f>TEXT(Source_data[[#This Row],[Listing_Date]],"mmm-yy")</f>
        <v>Feb-24</v>
      </c>
      <c r="N908" s="4">
        <f t="shared" si="14"/>
        <v>5463.1687014428417</v>
      </c>
      <c r="O908" s="3" cm="1">
        <f t="array" ref="O908">_xlfn.IFS(AND(K908="Broker",J908="Resale"),F908*0.5,AND(K908="Owner",J908="Resale"),F908*0,AND(K908="Builder",J908="Resale"),F908*0.3,AND(J908="New",K908="Broker"),F908*0.1,AND(J908="New",K908="Owner"),F908*0,AND(J908="New",K908="Builder"),F908*0.5)</f>
        <v>0</v>
      </c>
    </row>
    <row r="909" spans="1:15" x14ac:dyDescent="0.3">
      <c r="A909" s="8" t="s">
        <v>971</v>
      </c>
      <c r="B909" s="4" t="s">
        <v>842</v>
      </c>
      <c r="C909" s="4" t="s">
        <v>17</v>
      </c>
      <c r="D909" s="4">
        <v>4</v>
      </c>
      <c r="E909" s="4">
        <v>1199</v>
      </c>
      <c r="F909" s="4">
        <v>5070784</v>
      </c>
      <c r="G909" s="4">
        <v>3</v>
      </c>
      <c r="H909" s="4">
        <v>2</v>
      </c>
      <c r="I909" s="4" t="s">
        <v>18</v>
      </c>
      <c r="J909" s="4" t="s">
        <v>23</v>
      </c>
      <c r="K909" s="4" t="s">
        <v>36</v>
      </c>
      <c r="L909" s="9">
        <v>45449</v>
      </c>
      <c r="M909" s="9" t="str">
        <f>TEXT(Source_data[[#This Row],[Listing_Date]],"mmm-yy")</f>
        <v>Jun-24</v>
      </c>
      <c r="N909" s="4">
        <f t="shared" si="14"/>
        <v>4229.1776480400331</v>
      </c>
      <c r="O909" s="3" cm="1">
        <f t="array" ref="O909">_xlfn.IFS(AND(K909="Broker",J909="Resale"),F909*0.5,AND(K909="Owner",J909="Resale"),F909*0,AND(K909="Builder",J909="Resale"),F909*0.3,AND(J909="New",K909="Broker"),F909*0.1,AND(J909="New",K909="Owner"),F909*0,AND(J909="New",K909="Builder"),F909*0.5)</f>
        <v>0</v>
      </c>
    </row>
    <row r="910" spans="1:15" x14ac:dyDescent="0.3">
      <c r="A910" s="8" t="s">
        <v>972</v>
      </c>
      <c r="B910" s="4" t="s">
        <v>842</v>
      </c>
      <c r="C910" s="4" t="s">
        <v>864</v>
      </c>
      <c r="D910" s="4">
        <v>3</v>
      </c>
      <c r="E910" s="4">
        <v>1546</v>
      </c>
      <c r="F910" s="4">
        <v>7223240</v>
      </c>
      <c r="G910" s="4">
        <v>3</v>
      </c>
      <c r="H910" s="4">
        <v>2</v>
      </c>
      <c r="I910" s="4" t="s">
        <v>8</v>
      </c>
      <c r="J910" s="4" t="s">
        <v>23</v>
      </c>
      <c r="K910" s="4" t="s">
        <v>36</v>
      </c>
      <c r="L910" s="9">
        <v>45058</v>
      </c>
      <c r="M910" s="9" t="str">
        <f>TEXT(Source_data[[#This Row],[Listing_Date]],"mmm-yy")</f>
        <v>May-23</v>
      </c>
      <c r="N910" s="4">
        <f t="shared" si="14"/>
        <v>4672.2121604139711</v>
      </c>
      <c r="O910" s="3" cm="1">
        <f t="array" ref="O910">_xlfn.IFS(AND(K910="Broker",J910="Resale"),F910*0.5,AND(K910="Owner",J910="Resale"),F910*0,AND(K910="Builder",J910="Resale"),F910*0.3,AND(J910="New",K910="Broker"),F910*0.1,AND(J910="New",K910="Owner"),F910*0,AND(J910="New",K910="Builder"),F910*0.5)</f>
        <v>0</v>
      </c>
    </row>
    <row r="911" spans="1:15" x14ac:dyDescent="0.3">
      <c r="A911" s="8" t="s">
        <v>973</v>
      </c>
      <c r="B911" s="4" t="s">
        <v>842</v>
      </c>
      <c r="C911" s="4" t="s">
        <v>864</v>
      </c>
      <c r="D911" s="4">
        <v>2</v>
      </c>
      <c r="E911" s="4">
        <v>1305</v>
      </c>
      <c r="F911" s="4">
        <v>7611362</v>
      </c>
      <c r="G911" s="4">
        <v>2</v>
      </c>
      <c r="H911" s="4">
        <v>2</v>
      </c>
      <c r="I911" s="4" t="s">
        <v>18</v>
      </c>
      <c r="J911" s="4" t="s">
        <v>19</v>
      </c>
      <c r="K911" s="4" t="s">
        <v>36</v>
      </c>
      <c r="L911" s="9">
        <v>45606</v>
      </c>
      <c r="M911" s="9" t="str">
        <f>TEXT(Source_data[[#This Row],[Listing_Date]],"mmm-yy")</f>
        <v>Nov-24</v>
      </c>
      <c r="N911" s="4">
        <f t="shared" si="14"/>
        <v>5832.4613026819925</v>
      </c>
      <c r="O911" s="3" cm="1">
        <f t="array" ref="O911">_xlfn.IFS(AND(K911="Broker",J911="Resale"),F911*0.5,AND(K911="Owner",J911="Resale"),F911*0,AND(K911="Builder",J911="Resale"),F911*0.3,AND(J911="New",K911="Broker"),F911*0.1,AND(J911="New",K911="Owner"),F911*0,AND(J911="New",K911="Builder"),F911*0.5)</f>
        <v>0</v>
      </c>
    </row>
    <row r="912" spans="1:15" x14ac:dyDescent="0.3">
      <c r="A912" s="8" t="s">
        <v>974</v>
      </c>
      <c r="B912" s="4" t="s">
        <v>842</v>
      </c>
      <c r="C912" s="4" t="s">
        <v>843</v>
      </c>
      <c r="D912" s="4">
        <v>2</v>
      </c>
      <c r="E912" s="4">
        <v>1264</v>
      </c>
      <c r="F912" s="4">
        <v>8988605</v>
      </c>
      <c r="G912" s="4">
        <v>2</v>
      </c>
      <c r="H912" s="4">
        <v>2</v>
      </c>
      <c r="I912" s="4" t="s">
        <v>18</v>
      </c>
      <c r="J912" s="4" t="s">
        <v>19</v>
      </c>
      <c r="K912" s="4" t="s">
        <v>20</v>
      </c>
      <c r="L912" s="9">
        <v>45848</v>
      </c>
      <c r="M912" s="9" t="str">
        <f>TEXT(Source_data[[#This Row],[Listing_Date]],"mmm-yy")</f>
        <v>Jul-25</v>
      </c>
      <c r="N912" s="4">
        <f t="shared" si="14"/>
        <v>7111.2381329113923</v>
      </c>
      <c r="O912" s="3" cm="1">
        <f t="array" ref="O912">_xlfn.IFS(AND(K912="Broker",J912="Resale"),F912*0.5,AND(K912="Owner",J912="Resale"),F912*0,AND(K912="Builder",J912="Resale"),F912*0.3,AND(J912="New",K912="Broker"),F912*0.1,AND(J912="New",K912="Owner"),F912*0,AND(J912="New",K912="Builder"),F912*0.5)</f>
        <v>898860.5</v>
      </c>
    </row>
    <row r="913" spans="1:15" x14ac:dyDescent="0.3">
      <c r="A913" s="8" t="s">
        <v>975</v>
      </c>
      <c r="B913" s="4" t="s">
        <v>842</v>
      </c>
      <c r="C913" s="4" t="s">
        <v>864</v>
      </c>
      <c r="D913" s="4">
        <v>2</v>
      </c>
      <c r="E913" s="4">
        <v>707</v>
      </c>
      <c r="F913" s="4">
        <v>4152518</v>
      </c>
      <c r="G913" s="4">
        <v>2</v>
      </c>
      <c r="H913" s="4">
        <v>1</v>
      </c>
      <c r="I913" s="4" t="s">
        <v>8</v>
      </c>
      <c r="J913" s="4" t="s">
        <v>19</v>
      </c>
      <c r="K913" s="4" t="s">
        <v>20</v>
      </c>
      <c r="L913" s="9">
        <v>45452</v>
      </c>
      <c r="M913" s="9" t="str">
        <f>TEXT(Source_data[[#This Row],[Listing_Date]],"mmm-yy")</f>
        <v>Jun-24</v>
      </c>
      <c r="N913" s="4">
        <f t="shared" si="14"/>
        <v>5873.4342291371995</v>
      </c>
      <c r="O913" s="3" cm="1">
        <f t="array" ref="O913">_xlfn.IFS(AND(K913="Broker",J913="Resale"),F913*0.5,AND(K913="Owner",J913="Resale"),F913*0,AND(K913="Builder",J913="Resale"),F913*0.3,AND(J913="New",K913="Broker"),F913*0.1,AND(J913="New",K913="Owner"),F913*0,AND(J913="New",K913="Builder"),F913*0.5)</f>
        <v>415251.80000000005</v>
      </c>
    </row>
    <row r="914" spans="1:15" x14ac:dyDescent="0.3">
      <c r="A914" s="8" t="s">
        <v>976</v>
      </c>
      <c r="B914" s="4" t="s">
        <v>842</v>
      </c>
      <c r="C914" s="4" t="s">
        <v>864</v>
      </c>
      <c r="D914" s="4">
        <v>3</v>
      </c>
      <c r="E914" s="4">
        <v>674</v>
      </c>
      <c r="F914" s="4">
        <v>4530819</v>
      </c>
      <c r="G914" s="4">
        <v>2</v>
      </c>
      <c r="H914" s="4">
        <v>2</v>
      </c>
      <c r="I914" s="4" t="s">
        <v>27</v>
      </c>
      <c r="J914" s="4" t="s">
        <v>19</v>
      </c>
      <c r="K914" s="4" t="s">
        <v>24</v>
      </c>
      <c r="L914" s="9">
        <v>44942</v>
      </c>
      <c r="M914" s="9" t="str">
        <f>TEXT(Source_data[[#This Row],[Listing_Date]],"mmm-yy")</f>
        <v>Jan-23</v>
      </c>
      <c r="N914" s="4">
        <f t="shared" si="14"/>
        <v>6722.2833827893173</v>
      </c>
      <c r="O914" s="3" cm="1">
        <f t="array" ref="O914">_xlfn.IFS(AND(K914="Broker",J914="Resale"),F914*0.5,AND(K914="Owner",J914="Resale"),F914*0,AND(K914="Builder",J914="Resale"),F914*0.3,AND(J914="New",K914="Broker"),F914*0.1,AND(J914="New",K914="Owner"),F914*0,AND(J914="New",K914="Builder"),F914*0.5)</f>
        <v>2265409.5</v>
      </c>
    </row>
    <row r="915" spans="1:15" x14ac:dyDescent="0.3">
      <c r="A915" s="8" t="s">
        <v>977</v>
      </c>
      <c r="B915" s="4" t="s">
        <v>842</v>
      </c>
      <c r="C915" s="4" t="s">
        <v>843</v>
      </c>
      <c r="D915" s="4">
        <v>3</v>
      </c>
      <c r="E915" s="4">
        <v>1470</v>
      </c>
      <c r="F915" s="4">
        <v>7047733</v>
      </c>
      <c r="G915" s="4">
        <v>3</v>
      </c>
      <c r="H915" s="4">
        <v>2</v>
      </c>
      <c r="I915" s="4" t="s">
        <v>8</v>
      </c>
      <c r="J915" s="4" t="s">
        <v>23</v>
      </c>
      <c r="K915" s="4" t="s">
        <v>20</v>
      </c>
      <c r="L915" s="9">
        <v>45277</v>
      </c>
      <c r="M915" s="9" t="str">
        <f>TEXT(Source_data[[#This Row],[Listing_Date]],"mmm-yy")</f>
        <v>Dec-23</v>
      </c>
      <c r="N915" s="4">
        <f t="shared" si="14"/>
        <v>4794.3761904761905</v>
      </c>
      <c r="O915" s="3" cm="1">
        <f t="array" ref="O915">_xlfn.IFS(AND(K915="Broker",J915="Resale"),F915*0.5,AND(K915="Owner",J915="Resale"),F915*0,AND(K915="Builder",J915="Resale"),F915*0.3,AND(J915="New",K915="Broker"),F915*0.1,AND(J915="New",K915="Owner"),F915*0,AND(J915="New",K915="Builder"),F915*0.5)</f>
        <v>3523866.5</v>
      </c>
    </row>
    <row r="916" spans="1:15" x14ac:dyDescent="0.3">
      <c r="A916" s="8" t="s">
        <v>978</v>
      </c>
      <c r="B916" s="4" t="s">
        <v>842</v>
      </c>
      <c r="C916" s="4" t="s">
        <v>843</v>
      </c>
      <c r="D916" s="4">
        <v>3</v>
      </c>
      <c r="E916" s="4">
        <v>866</v>
      </c>
      <c r="F916" s="4">
        <v>4630904</v>
      </c>
      <c r="G916" s="4">
        <v>3</v>
      </c>
      <c r="H916" s="4">
        <v>2</v>
      </c>
      <c r="I916" s="4" t="s">
        <v>18</v>
      </c>
      <c r="J916" s="4" t="s">
        <v>19</v>
      </c>
      <c r="K916" s="4" t="s">
        <v>24</v>
      </c>
      <c r="L916" s="9">
        <v>45211</v>
      </c>
      <c r="M916" s="9" t="str">
        <f>TEXT(Source_data[[#This Row],[Listing_Date]],"mmm-yy")</f>
        <v>Oct-23</v>
      </c>
      <c r="N916" s="4">
        <f t="shared" si="14"/>
        <v>5347.4642032332567</v>
      </c>
      <c r="O916" s="3" cm="1">
        <f t="array" ref="O916">_xlfn.IFS(AND(K916="Broker",J916="Resale"),F916*0.5,AND(K916="Owner",J916="Resale"),F916*0,AND(K916="Builder",J916="Resale"),F916*0.3,AND(J916="New",K916="Broker"),F916*0.1,AND(J916="New",K916="Owner"),F916*0,AND(J916="New",K916="Builder"),F916*0.5)</f>
        <v>2315452</v>
      </c>
    </row>
    <row r="917" spans="1:15" x14ac:dyDescent="0.3">
      <c r="A917" s="8" t="s">
        <v>979</v>
      </c>
      <c r="B917" s="4" t="s">
        <v>842</v>
      </c>
      <c r="C917" s="4" t="s">
        <v>845</v>
      </c>
      <c r="D917" s="4">
        <v>3</v>
      </c>
      <c r="E917" s="4">
        <v>1954</v>
      </c>
      <c r="F917" s="4">
        <v>11785273</v>
      </c>
      <c r="G917" s="4">
        <v>3</v>
      </c>
      <c r="H917" s="4">
        <v>3</v>
      </c>
      <c r="I917" s="4" t="s">
        <v>18</v>
      </c>
      <c r="J917" s="4" t="s">
        <v>23</v>
      </c>
      <c r="K917" s="4" t="s">
        <v>36</v>
      </c>
      <c r="L917" s="9">
        <v>45758</v>
      </c>
      <c r="M917" s="9" t="str">
        <f>TEXT(Source_data[[#This Row],[Listing_Date]],"mmm-yy")</f>
        <v>Apr-25</v>
      </c>
      <c r="N917" s="4">
        <f t="shared" si="14"/>
        <v>6031.3577277379736</v>
      </c>
      <c r="O917" s="3" cm="1">
        <f t="array" ref="O917">_xlfn.IFS(AND(K917="Broker",J917="Resale"),F917*0.5,AND(K917="Owner",J917="Resale"),F917*0,AND(K917="Builder",J917="Resale"),F917*0.3,AND(J917="New",K917="Broker"),F917*0.1,AND(J917="New",K917="Owner"),F917*0,AND(J917="New",K917="Builder"),F917*0.5)</f>
        <v>0</v>
      </c>
    </row>
    <row r="918" spans="1:15" x14ac:dyDescent="0.3">
      <c r="A918" s="8" t="s">
        <v>980</v>
      </c>
      <c r="B918" s="4" t="s">
        <v>842</v>
      </c>
      <c r="C918" s="4" t="s">
        <v>845</v>
      </c>
      <c r="D918" s="4">
        <v>3</v>
      </c>
      <c r="E918" s="4">
        <v>1649</v>
      </c>
      <c r="F918" s="4">
        <v>9622766</v>
      </c>
      <c r="G918" s="4">
        <v>3</v>
      </c>
      <c r="H918" s="4">
        <v>2</v>
      </c>
      <c r="I918" s="4" t="s">
        <v>8</v>
      </c>
      <c r="J918" s="4" t="s">
        <v>19</v>
      </c>
      <c r="K918" s="4" t="s">
        <v>36</v>
      </c>
      <c r="L918" s="9">
        <v>45536</v>
      </c>
      <c r="M918" s="9" t="str">
        <f>TEXT(Source_data[[#This Row],[Listing_Date]],"mmm-yy")</f>
        <v>Sep-24</v>
      </c>
      <c r="N918" s="4">
        <f t="shared" si="14"/>
        <v>5835.516070345664</v>
      </c>
      <c r="O918" s="3" cm="1">
        <f t="array" ref="O918">_xlfn.IFS(AND(K918="Broker",J918="Resale"),F918*0.5,AND(K918="Owner",J918="Resale"),F918*0,AND(K918="Builder",J918="Resale"),F918*0.3,AND(J918="New",K918="Broker"),F918*0.1,AND(J918="New",K918="Owner"),F918*0,AND(J918="New",K918="Builder"),F918*0.5)</f>
        <v>0</v>
      </c>
    </row>
    <row r="919" spans="1:15" x14ac:dyDescent="0.3">
      <c r="A919" s="8" t="s">
        <v>981</v>
      </c>
      <c r="B919" s="4" t="s">
        <v>842</v>
      </c>
      <c r="C919" s="4" t="s">
        <v>843</v>
      </c>
      <c r="D919" s="4">
        <v>2</v>
      </c>
      <c r="E919" s="4">
        <v>745</v>
      </c>
      <c r="F919" s="4">
        <v>4582503</v>
      </c>
      <c r="G919" s="4">
        <v>2</v>
      </c>
      <c r="H919" s="4">
        <v>2</v>
      </c>
      <c r="I919" s="4" t="s">
        <v>8</v>
      </c>
      <c r="J919" s="4" t="s">
        <v>19</v>
      </c>
      <c r="K919" s="4" t="s">
        <v>20</v>
      </c>
      <c r="L919" s="9">
        <v>45543</v>
      </c>
      <c r="M919" s="9" t="str">
        <f>TEXT(Source_data[[#This Row],[Listing_Date]],"mmm-yy")</f>
        <v>Sep-24</v>
      </c>
      <c r="N919" s="4">
        <f t="shared" si="14"/>
        <v>6151.0107382550332</v>
      </c>
      <c r="O919" s="3" cm="1">
        <f t="array" ref="O919">_xlfn.IFS(AND(K919="Broker",J919="Resale"),F919*0.5,AND(K919="Owner",J919="Resale"),F919*0,AND(K919="Builder",J919="Resale"),F919*0.3,AND(J919="New",K919="Broker"),F919*0.1,AND(J919="New",K919="Owner"),F919*0,AND(J919="New",K919="Builder"),F919*0.5)</f>
        <v>458250.30000000005</v>
      </c>
    </row>
    <row r="920" spans="1:15" x14ac:dyDescent="0.3">
      <c r="A920" s="8" t="s">
        <v>982</v>
      </c>
      <c r="B920" s="4" t="s">
        <v>842</v>
      </c>
      <c r="C920" s="4" t="s">
        <v>17</v>
      </c>
      <c r="D920" s="4">
        <v>1</v>
      </c>
      <c r="E920" s="4">
        <v>365</v>
      </c>
      <c r="F920" s="4">
        <v>2340529</v>
      </c>
      <c r="G920" s="4">
        <v>1</v>
      </c>
      <c r="H920" s="4">
        <v>3</v>
      </c>
      <c r="I920" s="4" t="s">
        <v>27</v>
      </c>
      <c r="J920" s="4" t="s">
        <v>23</v>
      </c>
      <c r="K920" s="4" t="s">
        <v>36</v>
      </c>
      <c r="L920" s="9">
        <v>45519</v>
      </c>
      <c r="M920" s="9" t="str">
        <f>TEXT(Source_data[[#This Row],[Listing_Date]],"mmm-yy")</f>
        <v>Aug-24</v>
      </c>
      <c r="N920" s="4">
        <f t="shared" si="14"/>
        <v>6412.4082191780826</v>
      </c>
      <c r="O920" s="3" cm="1">
        <f t="array" ref="O920">_xlfn.IFS(AND(K920="Broker",J920="Resale"),F920*0.5,AND(K920="Owner",J920="Resale"),F920*0,AND(K920="Builder",J920="Resale"),F920*0.3,AND(J920="New",K920="Broker"),F920*0.1,AND(J920="New",K920="Owner"),F920*0,AND(J920="New",K920="Builder"),F920*0.5)</f>
        <v>0</v>
      </c>
    </row>
    <row r="921" spans="1:15" x14ac:dyDescent="0.3">
      <c r="A921" s="8" t="s">
        <v>983</v>
      </c>
      <c r="B921" s="4" t="s">
        <v>842</v>
      </c>
      <c r="C921" s="4" t="s">
        <v>17</v>
      </c>
      <c r="D921" s="4">
        <v>3</v>
      </c>
      <c r="E921" s="4">
        <v>1009</v>
      </c>
      <c r="F921" s="4">
        <v>5837861</v>
      </c>
      <c r="G921" s="4">
        <v>2</v>
      </c>
      <c r="H921" s="4">
        <v>2</v>
      </c>
      <c r="I921" s="4" t="s">
        <v>8</v>
      </c>
      <c r="J921" s="4" t="s">
        <v>19</v>
      </c>
      <c r="K921" s="4" t="s">
        <v>24</v>
      </c>
      <c r="L921" s="9">
        <v>45592</v>
      </c>
      <c r="M921" s="9" t="str">
        <f>TEXT(Source_data[[#This Row],[Listing_Date]],"mmm-yy")</f>
        <v>Oct-24</v>
      </c>
      <c r="N921" s="4">
        <f t="shared" si="14"/>
        <v>5785.7888999008919</v>
      </c>
      <c r="O921" s="3" cm="1">
        <f t="array" ref="O921">_xlfn.IFS(AND(K921="Broker",J921="Resale"),F921*0.5,AND(K921="Owner",J921="Resale"),F921*0,AND(K921="Builder",J921="Resale"),F921*0.3,AND(J921="New",K921="Broker"),F921*0.1,AND(J921="New",K921="Owner"),F921*0,AND(J921="New",K921="Builder"),F921*0.5)</f>
        <v>2918930.5</v>
      </c>
    </row>
    <row r="922" spans="1:15" x14ac:dyDescent="0.3">
      <c r="A922" s="8" t="s">
        <v>984</v>
      </c>
      <c r="B922" s="4" t="s">
        <v>842</v>
      </c>
      <c r="C922" s="4" t="s">
        <v>864</v>
      </c>
      <c r="D922" s="4">
        <v>4</v>
      </c>
      <c r="E922" s="4">
        <v>2065</v>
      </c>
      <c r="F922" s="4">
        <v>11612523</v>
      </c>
      <c r="G922" s="4">
        <v>4</v>
      </c>
      <c r="H922" s="4">
        <v>0</v>
      </c>
      <c r="I922" s="4" t="s">
        <v>27</v>
      </c>
      <c r="J922" s="4" t="s">
        <v>23</v>
      </c>
      <c r="K922" s="4" t="s">
        <v>24</v>
      </c>
      <c r="L922" s="9">
        <v>45417</v>
      </c>
      <c r="M922" s="9" t="str">
        <f>TEXT(Source_data[[#This Row],[Listing_Date]],"mmm-yy")</f>
        <v>May-24</v>
      </c>
      <c r="N922" s="4">
        <f t="shared" si="14"/>
        <v>5623.4978208232442</v>
      </c>
      <c r="O922" s="3" cm="1">
        <f t="array" ref="O922">_xlfn.IFS(AND(K922="Broker",J922="Resale"),F922*0.5,AND(K922="Owner",J922="Resale"),F922*0,AND(K922="Builder",J922="Resale"),F922*0.3,AND(J922="New",K922="Broker"),F922*0.1,AND(J922="New",K922="Owner"),F922*0,AND(J922="New",K922="Builder"),F922*0.5)</f>
        <v>3483756.9</v>
      </c>
    </row>
    <row r="923" spans="1:15" x14ac:dyDescent="0.3">
      <c r="A923" s="8" t="s">
        <v>985</v>
      </c>
      <c r="B923" s="4" t="s">
        <v>842</v>
      </c>
      <c r="C923" s="4" t="s">
        <v>847</v>
      </c>
      <c r="D923" s="4">
        <v>1</v>
      </c>
      <c r="E923" s="4">
        <v>820</v>
      </c>
      <c r="F923" s="4">
        <v>6106246</v>
      </c>
      <c r="G923" s="4">
        <v>1</v>
      </c>
      <c r="H923" s="4">
        <v>1</v>
      </c>
      <c r="I923" s="4" t="s">
        <v>8</v>
      </c>
      <c r="J923" s="4" t="s">
        <v>23</v>
      </c>
      <c r="K923" s="4" t="s">
        <v>36</v>
      </c>
      <c r="L923" s="9">
        <v>44967</v>
      </c>
      <c r="M923" s="9" t="str">
        <f>TEXT(Source_data[[#This Row],[Listing_Date]],"mmm-yy")</f>
        <v>Feb-23</v>
      </c>
      <c r="N923" s="4">
        <f t="shared" si="14"/>
        <v>7446.641463414634</v>
      </c>
      <c r="O923" s="3" cm="1">
        <f t="array" ref="O923">_xlfn.IFS(AND(K923="Broker",J923="Resale"),F923*0.5,AND(K923="Owner",J923="Resale"),F923*0,AND(K923="Builder",J923="Resale"),F923*0.3,AND(J923="New",K923="Broker"),F923*0.1,AND(J923="New",K923="Owner"),F923*0,AND(J923="New",K923="Builder"),F923*0.5)</f>
        <v>0</v>
      </c>
    </row>
    <row r="924" spans="1:15" x14ac:dyDescent="0.3">
      <c r="A924" s="8" t="s">
        <v>986</v>
      </c>
      <c r="B924" s="4" t="s">
        <v>842</v>
      </c>
      <c r="C924" s="4" t="s">
        <v>843</v>
      </c>
      <c r="D924" s="4">
        <v>3</v>
      </c>
      <c r="E924" s="4">
        <v>866</v>
      </c>
      <c r="F924" s="4">
        <v>4630904</v>
      </c>
      <c r="G924" s="4">
        <v>3</v>
      </c>
      <c r="H924" s="4">
        <v>2</v>
      </c>
      <c r="I924" s="4" t="s">
        <v>18</v>
      </c>
      <c r="J924" s="4" t="s">
        <v>19</v>
      </c>
      <c r="K924" s="4" t="s">
        <v>24</v>
      </c>
      <c r="L924" s="9">
        <v>45211</v>
      </c>
      <c r="M924" s="9" t="str">
        <f>TEXT(Source_data[[#This Row],[Listing_Date]],"mmm-yy")</f>
        <v>Oct-23</v>
      </c>
      <c r="N924" s="4">
        <f t="shared" si="14"/>
        <v>5347.4642032332567</v>
      </c>
      <c r="O924" s="3" cm="1">
        <f t="array" ref="O924">_xlfn.IFS(AND(K924="Broker",J924="Resale"),F924*0.5,AND(K924="Owner",J924="Resale"),F924*0,AND(K924="Builder",J924="Resale"),F924*0.3,AND(J924="New",K924="Broker"),F924*0.1,AND(J924="New",K924="Owner"),F924*0,AND(J924="New",K924="Builder"),F924*0.5)</f>
        <v>2315452</v>
      </c>
    </row>
    <row r="925" spans="1:15" x14ac:dyDescent="0.3">
      <c r="A925" s="8" t="s">
        <v>987</v>
      </c>
      <c r="B925" s="4" t="s">
        <v>988</v>
      </c>
      <c r="C925" s="4" t="s">
        <v>989</v>
      </c>
      <c r="D925" s="4">
        <v>3</v>
      </c>
      <c r="E925" s="4">
        <v>524</v>
      </c>
      <c r="F925" s="4">
        <v>3597233</v>
      </c>
      <c r="G925" s="4">
        <v>4</v>
      </c>
      <c r="H925" s="4">
        <v>3</v>
      </c>
      <c r="I925" s="4" t="s">
        <v>18</v>
      </c>
      <c r="J925" s="4" t="s">
        <v>23</v>
      </c>
      <c r="K925" s="4" t="s">
        <v>20</v>
      </c>
      <c r="L925" s="9">
        <v>45321</v>
      </c>
      <c r="M925" s="9" t="str">
        <f>TEXT(Source_data[[#This Row],[Listing_Date]],"mmm-yy")</f>
        <v>Jan-24</v>
      </c>
      <c r="N925" s="4">
        <f t="shared" si="14"/>
        <v>6864.948473282443</v>
      </c>
      <c r="O925" s="3" cm="1">
        <f t="array" ref="O925">_xlfn.IFS(AND(K925="Broker",J925="Resale"),F925*0.5,AND(K925="Owner",J925="Resale"),F925*0,AND(K925="Builder",J925="Resale"),F925*0.3,AND(J925="New",K925="Broker"),F925*0.1,AND(J925="New",K925="Owner"),F925*0,AND(J925="New",K925="Builder"),F925*0.5)</f>
        <v>1798616.5</v>
      </c>
    </row>
    <row r="926" spans="1:15" x14ac:dyDescent="0.3">
      <c r="A926" s="8" t="s">
        <v>990</v>
      </c>
      <c r="B926" s="4" t="s">
        <v>988</v>
      </c>
      <c r="C926" s="4" t="s">
        <v>991</v>
      </c>
      <c r="D926" s="4">
        <v>4</v>
      </c>
      <c r="E926" s="4">
        <v>1719</v>
      </c>
      <c r="F926" s="4">
        <v>15137167</v>
      </c>
      <c r="G926" s="4">
        <v>3</v>
      </c>
      <c r="H926" s="4">
        <v>3</v>
      </c>
      <c r="I926" s="4" t="s">
        <v>18</v>
      </c>
      <c r="J926" s="4" t="s">
        <v>19</v>
      </c>
      <c r="K926" s="4" t="s">
        <v>20</v>
      </c>
      <c r="L926" s="9">
        <v>45679</v>
      </c>
      <c r="M926" s="9" t="str">
        <f>TEXT(Source_data[[#This Row],[Listing_Date]],"mmm-yy")</f>
        <v>Jan-25</v>
      </c>
      <c r="N926" s="4">
        <f t="shared" si="14"/>
        <v>8805.7981384525883</v>
      </c>
      <c r="O926" s="3" cm="1">
        <f t="array" ref="O926">_xlfn.IFS(AND(K926="Broker",J926="Resale"),F926*0.5,AND(K926="Owner",J926="Resale"),F926*0,AND(K926="Builder",J926="Resale"),F926*0.3,AND(J926="New",K926="Broker"),F926*0.1,AND(J926="New",K926="Owner"),F926*0,AND(J926="New",K926="Builder"),F926*0.5)</f>
        <v>1513716.7000000002</v>
      </c>
    </row>
    <row r="927" spans="1:15" x14ac:dyDescent="0.3">
      <c r="A927" s="8" t="s">
        <v>992</v>
      </c>
      <c r="B927" s="4" t="s">
        <v>988</v>
      </c>
      <c r="C927" s="4" t="s">
        <v>993</v>
      </c>
      <c r="D927" s="4">
        <v>3</v>
      </c>
      <c r="E927" s="4">
        <v>1862</v>
      </c>
      <c r="F927" s="4">
        <v>11680442</v>
      </c>
      <c r="G927" s="4">
        <v>2</v>
      </c>
      <c r="H927" s="4">
        <v>1</v>
      </c>
      <c r="I927" s="4" t="s">
        <v>8</v>
      </c>
      <c r="J927" s="4" t="s">
        <v>19</v>
      </c>
      <c r="K927" s="4" t="s">
        <v>20</v>
      </c>
      <c r="L927" s="9">
        <v>45801</v>
      </c>
      <c r="M927" s="9" t="str">
        <f>TEXT(Source_data[[#This Row],[Listing_Date]],"mmm-yy")</f>
        <v>May-25</v>
      </c>
      <c r="N927" s="4">
        <f t="shared" si="14"/>
        <v>6273.0622986036524</v>
      </c>
      <c r="O927" s="3" cm="1">
        <f t="array" ref="O927">_xlfn.IFS(AND(K927="Broker",J927="Resale"),F927*0.5,AND(K927="Owner",J927="Resale"),F927*0,AND(K927="Builder",J927="Resale"),F927*0.3,AND(J927="New",K927="Broker"),F927*0.1,AND(J927="New",K927="Owner"),F927*0,AND(J927="New",K927="Builder"),F927*0.5)</f>
        <v>1168044.2</v>
      </c>
    </row>
    <row r="928" spans="1:15" x14ac:dyDescent="0.3">
      <c r="A928" s="8" t="s">
        <v>994</v>
      </c>
      <c r="B928" s="4" t="s">
        <v>988</v>
      </c>
      <c r="C928" s="4" t="s">
        <v>995</v>
      </c>
      <c r="D928" s="4">
        <v>3</v>
      </c>
      <c r="E928" s="4">
        <v>1830</v>
      </c>
      <c r="F928" s="4">
        <v>52309634</v>
      </c>
      <c r="G928" s="4">
        <v>2</v>
      </c>
      <c r="H928" s="4">
        <v>2</v>
      </c>
      <c r="I928" s="4" t="s">
        <v>18</v>
      </c>
      <c r="J928" s="4" t="s">
        <v>23</v>
      </c>
      <c r="K928" s="4" t="s">
        <v>20</v>
      </c>
      <c r="L928" s="9">
        <v>45402</v>
      </c>
      <c r="M928" s="9" t="str">
        <f>TEXT(Source_data[[#This Row],[Listing_Date]],"mmm-yy")</f>
        <v>Apr-24</v>
      </c>
      <c r="N928" s="4">
        <f t="shared" si="14"/>
        <v>28584.499453551911</v>
      </c>
      <c r="O928" s="3" cm="1">
        <f t="array" ref="O928">_xlfn.IFS(AND(K928="Broker",J928="Resale"),F928*0.5,AND(K928="Owner",J928="Resale"),F928*0,AND(K928="Builder",J928="Resale"),F928*0.3,AND(J928="New",K928="Broker"),F928*0.1,AND(J928="New",K928="Owner"),F928*0,AND(J928="New",K928="Builder"),F928*0.5)</f>
        <v>26154817</v>
      </c>
    </row>
    <row r="929" spans="1:15" x14ac:dyDescent="0.3">
      <c r="A929" s="8" t="s">
        <v>996</v>
      </c>
      <c r="B929" s="4" t="s">
        <v>988</v>
      </c>
      <c r="C929" s="4" t="s">
        <v>989</v>
      </c>
      <c r="D929" s="4">
        <v>3</v>
      </c>
      <c r="E929" s="4">
        <v>1684</v>
      </c>
      <c r="F929" s="4">
        <v>10524450</v>
      </c>
      <c r="G929" s="4">
        <v>3</v>
      </c>
      <c r="H929" s="4">
        <v>1</v>
      </c>
      <c r="I929" s="4" t="s">
        <v>8</v>
      </c>
      <c r="J929" s="4" t="s">
        <v>23</v>
      </c>
      <c r="K929" s="4" t="s">
        <v>36</v>
      </c>
      <c r="L929" s="9">
        <v>45600</v>
      </c>
      <c r="M929" s="9" t="str">
        <f>TEXT(Source_data[[#This Row],[Listing_Date]],"mmm-yy")</f>
        <v>Nov-24</v>
      </c>
      <c r="N929" s="4">
        <f t="shared" si="14"/>
        <v>6249.6733966745842</v>
      </c>
      <c r="O929" s="3" cm="1">
        <f t="array" ref="O929">_xlfn.IFS(AND(K929="Broker",J929="Resale"),F929*0.5,AND(K929="Owner",J929="Resale"),F929*0,AND(K929="Builder",J929="Resale"),F929*0.3,AND(J929="New",K929="Broker"),F929*0.1,AND(J929="New",K929="Owner"),F929*0,AND(J929="New",K929="Builder"),F929*0.5)</f>
        <v>0</v>
      </c>
    </row>
    <row r="930" spans="1:15" x14ac:dyDescent="0.3">
      <c r="A930" s="8" t="s">
        <v>997</v>
      </c>
      <c r="B930" s="4" t="s">
        <v>988</v>
      </c>
      <c r="C930" s="4" t="s">
        <v>995</v>
      </c>
      <c r="D930" s="4">
        <v>5</v>
      </c>
      <c r="E930" s="4">
        <v>2524</v>
      </c>
      <c r="F930" s="4">
        <v>17185919</v>
      </c>
      <c r="G930" s="4">
        <v>3</v>
      </c>
      <c r="H930" s="4">
        <v>1</v>
      </c>
      <c r="I930" s="4" t="s">
        <v>18</v>
      </c>
      <c r="J930" s="4" t="s">
        <v>19</v>
      </c>
      <c r="K930" s="4" t="s">
        <v>24</v>
      </c>
      <c r="L930" s="9">
        <v>45845</v>
      </c>
      <c r="M930" s="9" t="str">
        <f>TEXT(Source_data[[#This Row],[Listing_Date]],"mmm-yy")</f>
        <v>Jul-25</v>
      </c>
      <c r="N930" s="4">
        <f t="shared" si="14"/>
        <v>6809.0011885895401</v>
      </c>
      <c r="O930" s="3" cm="1">
        <f t="array" ref="O930">_xlfn.IFS(AND(K930="Broker",J930="Resale"),F930*0.5,AND(K930="Owner",J930="Resale"),F930*0,AND(K930="Builder",J930="Resale"),F930*0.3,AND(J930="New",K930="Broker"),F930*0.1,AND(J930="New",K930="Owner"),F930*0,AND(J930="New",K930="Builder"),F930*0.5)</f>
        <v>8592959.5</v>
      </c>
    </row>
    <row r="931" spans="1:15" x14ac:dyDescent="0.3">
      <c r="A931" s="8" t="s">
        <v>998</v>
      </c>
      <c r="B931" s="4" t="s">
        <v>988</v>
      </c>
      <c r="C931" s="4" t="s">
        <v>999</v>
      </c>
      <c r="D931" s="4">
        <v>1</v>
      </c>
      <c r="E931" s="4">
        <v>693</v>
      </c>
      <c r="F931" s="4">
        <v>5639412</v>
      </c>
      <c r="G931" s="4">
        <v>1</v>
      </c>
      <c r="H931" s="4">
        <v>3</v>
      </c>
      <c r="I931" s="4" t="s">
        <v>8</v>
      </c>
      <c r="J931" s="4" t="s">
        <v>19</v>
      </c>
      <c r="K931" s="4" t="s">
        <v>24</v>
      </c>
      <c r="L931" s="9">
        <v>45722</v>
      </c>
      <c r="M931" s="9" t="str">
        <f>TEXT(Source_data[[#This Row],[Listing_Date]],"mmm-yy")</f>
        <v>Mar-25</v>
      </c>
      <c r="N931" s="4">
        <f t="shared" si="14"/>
        <v>8137.6796536796537</v>
      </c>
      <c r="O931" s="3" cm="1">
        <f t="array" ref="O931">_xlfn.IFS(AND(K931="Broker",J931="Resale"),F931*0.5,AND(K931="Owner",J931="Resale"),F931*0,AND(K931="Builder",J931="Resale"),F931*0.3,AND(J931="New",K931="Broker"),F931*0.1,AND(J931="New",K931="Owner"),F931*0,AND(J931="New",K931="Builder"),F931*0.5)</f>
        <v>2819706</v>
      </c>
    </row>
    <row r="932" spans="1:15" x14ac:dyDescent="0.3">
      <c r="A932" s="8" t="s">
        <v>1000</v>
      </c>
      <c r="B932" s="4" t="s">
        <v>988</v>
      </c>
      <c r="C932" s="4" t="s">
        <v>999</v>
      </c>
      <c r="D932" s="4">
        <v>3</v>
      </c>
      <c r="E932" s="4">
        <v>1795</v>
      </c>
      <c r="F932" s="4">
        <v>14641815</v>
      </c>
      <c r="G932" s="4">
        <v>2</v>
      </c>
      <c r="H932" s="4">
        <v>3</v>
      </c>
      <c r="I932" s="4" t="s">
        <v>8</v>
      </c>
      <c r="J932" s="4" t="s">
        <v>19</v>
      </c>
      <c r="K932" s="4" t="s">
        <v>36</v>
      </c>
      <c r="L932" s="9">
        <v>45234</v>
      </c>
      <c r="M932" s="9" t="str">
        <f>TEXT(Source_data[[#This Row],[Listing_Date]],"mmm-yy")</f>
        <v>Nov-23</v>
      </c>
      <c r="N932" s="4">
        <f t="shared" si="14"/>
        <v>8157</v>
      </c>
      <c r="O932" s="3" cm="1">
        <f t="array" ref="O932">_xlfn.IFS(AND(K932="Broker",J932="Resale"),F932*0.5,AND(K932="Owner",J932="Resale"),F932*0,AND(K932="Builder",J932="Resale"),F932*0.3,AND(J932="New",K932="Broker"),F932*0.1,AND(J932="New",K932="Owner"),F932*0,AND(J932="New",K932="Builder"),F932*0.5)</f>
        <v>0</v>
      </c>
    </row>
    <row r="933" spans="1:15" x14ac:dyDescent="0.3">
      <c r="A933" s="8" t="s">
        <v>1001</v>
      </c>
      <c r="B933" s="4" t="s">
        <v>988</v>
      </c>
      <c r="C933" s="4" t="s">
        <v>989</v>
      </c>
      <c r="D933" s="4">
        <v>2</v>
      </c>
      <c r="E933" s="4">
        <v>1351</v>
      </c>
      <c r="F933" s="4">
        <v>8401652</v>
      </c>
      <c r="G933" s="4">
        <v>2</v>
      </c>
      <c r="H933" s="4">
        <v>1</v>
      </c>
      <c r="I933" s="4" t="s">
        <v>27</v>
      </c>
      <c r="J933" s="4" t="s">
        <v>23</v>
      </c>
      <c r="K933" s="4" t="s">
        <v>36</v>
      </c>
      <c r="L933" s="9">
        <v>45275</v>
      </c>
      <c r="M933" s="9" t="str">
        <f>TEXT(Source_data[[#This Row],[Listing_Date]],"mmm-yy")</f>
        <v>Dec-23</v>
      </c>
      <c r="N933" s="4">
        <f t="shared" si="14"/>
        <v>6218.8393782383419</v>
      </c>
      <c r="O933" s="3" cm="1">
        <f t="array" ref="O933">_xlfn.IFS(AND(K933="Broker",J933="Resale"),F933*0.5,AND(K933="Owner",J933="Resale"),F933*0,AND(K933="Builder",J933="Resale"),F933*0.3,AND(J933="New",K933="Broker"),F933*0.1,AND(J933="New",K933="Owner"),F933*0,AND(J933="New",K933="Builder"),F933*0.5)</f>
        <v>0</v>
      </c>
    </row>
    <row r="934" spans="1:15" x14ac:dyDescent="0.3">
      <c r="A934" s="8" t="s">
        <v>1002</v>
      </c>
      <c r="B934" s="4" t="s">
        <v>988</v>
      </c>
      <c r="C934" s="4" t="s">
        <v>995</v>
      </c>
      <c r="D934" s="4">
        <v>3</v>
      </c>
      <c r="E934" s="4">
        <v>1583</v>
      </c>
      <c r="F934" s="4">
        <v>9990898</v>
      </c>
      <c r="G934" s="4">
        <v>2</v>
      </c>
      <c r="H934" s="4">
        <v>2</v>
      </c>
      <c r="I934" s="4" t="s">
        <v>8</v>
      </c>
      <c r="J934" s="4" t="s">
        <v>19</v>
      </c>
      <c r="K934" s="4" t="s">
        <v>20</v>
      </c>
      <c r="L934" s="9">
        <v>45363</v>
      </c>
      <c r="M934" s="9" t="str">
        <f>TEXT(Source_data[[#This Row],[Listing_Date]],"mmm-yy")</f>
        <v>Mar-24</v>
      </c>
      <c r="N934" s="4">
        <f t="shared" si="14"/>
        <v>6311.3695514845231</v>
      </c>
      <c r="O934" s="3" cm="1">
        <f t="array" ref="O934">_xlfn.IFS(AND(K934="Broker",J934="Resale"),F934*0.5,AND(K934="Owner",J934="Resale"),F934*0,AND(K934="Builder",J934="Resale"),F934*0.3,AND(J934="New",K934="Broker"),F934*0.1,AND(J934="New",K934="Owner"),F934*0,AND(J934="New",K934="Builder"),F934*0.5)</f>
        <v>999089.8</v>
      </c>
    </row>
    <row r="935" spans="1:15" x14ac:dyDescent="0.3">
      <c r="A935" s="8" t="s">
        <v>1003</v>
      </c>
      <c r="B935" s="4" t="s">
        <v>988</v>
      </c>
      <c r="C935" s="4" t="s">
        <v>993</v>
      </c>
      <c r="D935" s="4">
        <v>1</v>
      </c>
      <c r="E935" s="4">
        <v>606</v>
      </c>
      <c r="F935" s="4">
        <v>5360561</v>
      </c>
      <c r="G935" s="4">
        <v>1</v>
      </c>
      <c r="H935" s="4">
        <v>0</v>
      </c>
      <c r="I935" s="4" t="s">
        <v>18</v>
      </c>
      <c r="J935" s="4" t="s">
        <v>23</v>
      </c>
      <c r="K935" s="4" t="s">
        <v>36</v>
      </c>
      <c r="L935" s="9">
        <v>45166</v>
      </c>
      <c r="M935" s="9" t="str">
        <f>TEXT(Source_data[[#This Row],[Listing_Date]],"mmm-yy")</f>
        <v>Aug-23</v>
      </c>
      <c r="N935" s="4">
        <f t="shared" si="14"/>
        <v>8845.8102310231025</v>
      </c>
      <c r="O935" s="3" cm="1">
        <f t="array" ref="O935">_xlfn.IFS(AND(K935="Broker",J935="Resale"),F935*0.5,AND(K935="Owner",J935="Resale"),F935*0,AND(K935="Builder",J935="Resale"),F935*0.3,AND(J935="New",K935="Broker"),F935*0.1,AND(J935="New",K935="Owner"),F935*0,AND(J935="New",K935="Builder"),F935*0.5)</f>
        <v>0</v>
      </c>
    </row>
    <row r="936" spans="1:15" x14ac:dyDescent="0.3">
      <c r="A936" s="8" t="s">
        <v>1004</v>
      </c>
      <c r="B936" s="4" t="s">
        <v>988</v>
      </c>
      <c r="C936" s="4" t="s">
        <v>989</v>
      </c>
      <c r="D936" s="4">
        <v>3</v>
      </c>
      <c r="E936" s="4">
        <v>1150</v>
      </c>
      <c r="F936" s="4">
        <v>7313963</v>
      </c>
      <c r="G936" s="4">
        <v>3</v>
      </c>
      <c r="H936" s="4">
        <v>3</v>
      </c>
      <c r="I936" s="4" t="s">
        <v>27</v>
      </c>
      <c r="J936" s="4" t="s">
        <v>19</v>
      </c>
      <c r="K936" s="4" t="s">
        <v>20</v>
      </c>
      <c r="L936" s="9">
        <v>45512</v>
      </c>
      <c r="M936" s="9" t="str">
        <f>TEXT(Source_data[[#This Row],[Listing_Date]],"mmm-yy")</f>
        <v>Aug-24</v>
      </c>
      <c r="N936" s="4">
        <f t="shared" si="14"/>
        <v>6359.9678260869568</v>
      </c>
      <c r="O936" s="3" cm="1">
        <f t="array" ref="O936">_xlfn.IFS(AND(K936="Broker",J936="Resale"),F936*0.5,AND(K936="Owner",J936="Resale"),F936*0,AND(K936="Builder",J936="Resale"),F936*0.3,AND(J936="New",K936="Broker"),F936*0.1,AND(J936="New",K936="Owner"),F936*0,AND(J936="New",K936="Builder"),F936*0.5)</f>
        <v>731396.3</v>
      </c>
    </row>
    <row r="937" spans="1:15" x14ac:dyDescent="0.3">
      <c r="A937" s="8" t="s">
        <v>1005</v>
      </c>
      <c r="B937" s="4" t="s">
        <v>988</v>
      </c>
      <c r="C937" s="4" t="s">
        <v>995</v>
      </c>
      <c r="D937" s="4">
        <v>2</v>
      </c>
      <c r="E937" s="4">
        <v>1060</v>
      </c>
      <c r="F937" s="4">
        <v>8482166</v>
      </c>
      <c r="G937" s="4">
        <v>2</v>
      </c>
      <c r="H937" s="4">
        <v>1</v>
      </c>
      <c r="I937" s="4" t="s">
        <v>18</v>
      </c>
      <c r="J937" s="4" t="s">
        <v>19</v>
      </c>
      <c r="K937" s="4" t="s">
        <v>36</v>
      </c>
      <c r="L937" s="9">
        <v>45820</v>
      </c>
      <c r="M937" s="9" t="str">
        <f>TEXT(Source_data[[#This Row],[Listing_Date]],"mmm-yy")</f>
        <v>Jun-25</v>
      </c>
      <c r="N937" s="4">
        <f t="shared" si="14"/>
        <v>8002.0433962264151</v>
      </c>
      <c r="O937" s="3" cm="1">
        <f t="array" ref="O937">_xlfn.IFS(AND(K937="Broker",J937="Resale"),F937*0.5,AND(K937="Owner",J937="Resale"),F937*0,AND(K937="Builder",J937="Resale"),F937*0.3,AND(J937="New",K937="Broker"),F937*0.1,AND(J937="New",K937="Owner"),F937*0,AND(J937="New",K937="Builder"),F937*0.5)</f>
        <v>0</v>
      </c>
    </row>
    <row r="938" spans="1:15" x14ac:dyDescent="0.3">
      <c r="A938" s="8" t="s">
        <v>1006</v>
      </c>
      <c r="B938" s="4" t="s">
        <v>988</v>
      </c>
      <c r="C938" s="4" t="s">
        <v>1007</v>
      </c>
      <c r="D938" s="4">
        <v>4</v>
      </c>
      <c r="E938" s="4">
        <v>1814</v>
      </c>
      <c r="F938" s="4">
        <v>9403887</v>
      </c>
      <c r="G938" s="4">
        <v>3</v>
      </c>
      <c r="H938" s="4">
        <v>1</v>
      </c>
      <c r="I938" s="4" t="s">
        <v>18</v>
      </c>
      <c r="J938" s="4" t="s">
        <v>19</v>
      </c>
      <c r="K938" s="4" t="s">
        <v>36</v>
      </c>
      <c r="L938" s="9">
        <v>45245</v>
      </c>
      <c r="M938" s="9" t="str">
        <f>TEXT(Source_data[[#This Row],[Listing_Date]],"mmm-yy")</f>
        <v>Nov-23</v>
      </c>
      <c r="N938" s="4">
        <f t="shared" si="14"/>
        <v>5184.0611907386992</v>
      </c>
      <c r="O938" s="3" cm="1">
        <f t="array" ref="O938">_xlfn.IFS(AND(K938="Broker",J938="Resale"),F938*0.5,AND(K938="Owner",J938="Resale"),F938*0,AND(K938="Builder",J938="Resale"),F938*0.3,AND(J938="New",K938="Broker"),F938*0.1,AND(J938="New",K938="Owner"),F938*0,AND(J938="New",K938="Builder"),F938*0.5)</f>
        <v>0</v>
      </c>
    </row>
    <row r="939" spans="1:15" x14ac:dyDescent="0.3">
      <c r="A939" s="8" t="s">
        <v>1008</v>
      </c>
      <c r="B939" s="4" t="s">
        <v>988</v>
      </c>
      <c r="C939" s="4" t="s">
        <v>1007</v>
      </c>
      <c r="D939" s="4">
        <v>3</v>
      </c>
      <c r="E939" s="4">
        <v>1562</v>
      </c>
      <c r="F939" s="4">
        <v>12233227</v>
      </c>
      <c r="G939" s="4">
        <v>4</v>
      </c>
      <c r="H939" s="4">
        <v>3</v>
      </c>
      <c r="I939" s="4" t="s">
        <v>8</v>
      </c>
      <c r="J939" s="4" t="s">
        <v>19</v>
      </c>
      <c r="K939" s="4" t="s">
        <v>36</v>
      </c>
      <c r="L939" s="9">
        <v>45992</v>
      </c>
      <c r="M939" s="9" t="str">
        <f>TEXT(Source_data[[#This Row],[Listing_Date]],"mmm-yy")</f>
        <v>Dec-25</v>
      </c>
      <c r="N939" s="4">
        <f t="shared" si="14"/>
        <v>7831.7714468629965</v>
      </c>
      <c r="O939" s="3" cm="1">
        <f t="array" ref="O939">_xlfn.IFS(AND(K939="Broker",J939="Resale"),F939*0.5,AND(K939="Owner",J939="Resale"),F939*0,AND(K939="Builder",J939="Resale"),F939*0.3,AND(J939="New",K939="Broker"),F939*0.1,AND(J939="New",K939="Owner"),F939*0,AND(J939="New",K939="Builder"),F939*0.5)</f>
        <v>0</v>
      </c>
    </row>
    <row r="940" spans="1:15" x14ac:dyDescent="0.3">
      <c r="A940" s="8" t="s">
        <v>1009</v>
      </c>
      <c r="B940" s="4" t="s">
        <v>988</v>
      </c>
      <c r="C940" s="4" t="s">
        <v>989</v>
      </c>
      <c r="D940" s="4">
        <v>3</v>
      </c>
      <c r="E940" s="4">
        <v>1243</v>
      </c>
      <c r="F940" s="4">
        <v>7795244</v>
      </c>
      <c r="G940" s="4">
        <v>3</v>
      </c>
      <c r="H940" s="4">
        <v>2</v>
      </c>
      <c r="I940" s="4" t="s">
        <v>27</v>
      </c>
      <c r="J940" s="4" t="s">
        <v>19</v>
      </c>
      <c r="K940" s="4" t="s">
        <v>20</v>
      </c>
      <c r="L940" s="9">
        <v>45241</v>
      </c>
      <c r="M940" s="9" t="str">
        <f>TEXT(Source_data[[#This Row],[Listing_Date]],"mmm-yy")</f>
        <v>Nov-23</v>
      </c>
      <c r="N940" s="4">
        <f t="shared" si="14"/>
        <v>6271.3145615446501</v>
      </c>
      <c r="O940" s="3" cm="1">
        <f t="array" ref="O940">_xlfn.IFS(AND(K940="Broker",J940="Resale"),F940*0.5,AND(K940="Owner",J940="Resale"),F940*0,AND(K940="Builder",J940="Resale"),F940*0.3,AND(J940="New",K940="Broker"),F940*0.1,AND(J940="New",K940="Owner"),F940*0,AND(J940="New",K940="Builder"),F940*0.5)</f>
        <v>779524.4</v>
      </c>
    </row>
    <row r="941" spans="1:15" x14ac:dyDescent="0.3">
      <c r="A941" s="8" t="s">
        <v>1010</v>
      </c>
      <c r="B941" s="4" t="s">
        <v>988</v>
      </c>
      <c r="C941" s="4" t="s">
        <v>999</v>
      </c>
      <c r="D941" s="4">
        <v>2</v>
      </c>
      <c r="E941" s="4">
        <v>1019</v>
      </c>
      <c r="F941" s="4">
        <v>6584157</v>
      </c>
      <c r="G941" s="4">
        <v>1</v>
      </c>
      <c r="H941" s="4">
        <v>1</v>
      </c>
      <c r="I941" s="4" t="s">
        <v>18</v>
      </c>
      <c r="J941" s="4" t="s">
        <v>23</v>
      </c>
      <c r="K941" s="4" t="s">
        <v>24</v>
      </c>
      <c r="L941" s="9">
        <v>45869</v>
      </c>
      <c r="M941" s="9" t="str">
        <f>TEXT(Source_data[[#This Row],[Listing_Date]],"mmm-yy")</f>
        <v>Jul-25</v>
      </c>
      <c r="N941" s="4">
        <f t="shared" si="14"/>
        <v>6461.3905789990185</v>
      </c>
      <c r="O941" s="3" cm="1">
        <f t="array" ref="O941">_xlfn.IFS(AND(K941="Broker",J941="Resale"),F941*0.5,AND(K941="Owner",J941="Resale"),F941*0,AND(K941="Builder",J941="Resale"),F941*0.3,AND(J941="New",K941="Broker"),F941*0.1,AND(J941="New",K941="Owner"),F941*0,AND(J941="New",K941="Builder"),F941*0.5)</f>
        <v>1975247.0999999999</v>
      </c>
    </row>
    <row r="942" spans="1:15" x14ac:dyDescent="0.3">
      <c r="A942" s="8" t="s">
        <v>1011</v>
      </c>
      <c r="B942" s="4" t="s">
        <v>988</v>
      </c>
      <c r="C942" s="4" t="s">
        <v>995</v>
      </c>
      <c r="D942" s="4">
        <v>3</v>
      </c>
      <c r="E942" s="4">
        <v>1613</v>
      </c>
      <c r="F942" s="4">
        <v>12064178</v>
      </c>
      <c r="G942" s="4">
        <v>2</v>
      </c>
      <c r="H942" s="4">
        <v>2</v>
      </c>
      <c r="I942" s="4" t="s">
        <v>18</v>
      </c>
      <c r="J942" s="4" t="s">
        <v>19</v>
      </c>
      <c r="K942" s="4" t="s">
        <v>36</v>
      </c>
      <c r="L942" s="9">
        <v>45620</v>
      </c>
      <c r="M942" s="9" t="str">
        <f>TEXT(Source_data[[#This Row],[Listing_Date]],"mmm-yy")</f>
        <v>Nov-24</v>
      </c>
      <c r="N942" s="4">
        <f t="shared" si="14"/>
        <v>7479.3415995040295</v>
      </c>
      <c r="O942" s="3" cm="1">
        <f t="array" ref="O942">_xlfn.IFS(AND(K942="Broker",J942="Resale"),F942*0.5,AND(K942="Owner",J942="Resale"),F942*0,AND(K942="Builder",J942="Resale"),F942*0.3,AND(J942="New",K942="Broker"),F942*0.1,AND(J942="New",K942="Owner"),F942*0,AND(J942="New",K942="Builder"),F942*0.5)</f>
        <v>0</v>
      </c>
    </row>
    <row r="943" spans="1:15" x14ac:dyDescent="0.3">
      <c r="A943" s="8" t="s">
        <v>1012</v>
      </c>
      <c r="B943" s="4" t="s">
        <v>988</v>
      </c>
      <c r="C943" s="4" t="s">
        <v>1007</v>
      </c>
      <c r="D943" s="4">
        <v>1</v>
      </c>
      <c r="E943" s="4">
        <v>736</v>
      </c>
      <c r="F943" s="4">
        <v>4438410</v>
      </c>
      <c r="G943" s="4">
        <v>1</v>
      </c>
      <c r="H943" s="4">
        <v>1</v>
      </c>
      <c r="I943" s="4" t="s">
        <v>8</v>
      </c>
      <c r="J943" s="4" t="s">
        <v>23</v>
      </c>
      <c r="K943" s="4" t="s">
        <v>36</v>
      </c>
      <c r="L943" s="9">
        <v>44979</v>
      </c>
      <c r="M943" s="9" t="str">
        <f>TEXT(Source_data[[#This Row],[Listing_Date]],"mmm-yy")</f>
        <v>Feb-23</v>
      </c>
      <c r="N943" s="4">
        <f t="shared" si="14"/>
        <v>6030.448369565217</v>
      </c>
      <c r="O943" s="3" cm="1">
        <f t="array" ref="O943">_xlfn.IFS(AND(K943="Broker",J943="Resale"),F943*0.5,AND(K943="Owner",J943="Resale"),F943*0,AND(K943="Builder",J943="Resale"),F943*0.3,AND(J943="New",K943="Broker"),F943*0.1,AND(J943="New",K943="Owner"),F943*0,AND(J943="New",K943="Builder"),F943*0.5)</f>
        <v>0</v>
      </c>
    </row>
    <row r="944" spans="1:15" x14ac:dyDescent="0.3">
      <c r="A944" s="8" t="s">
        <v>1013</v>
      </c>
      <c r="B944" s="4" t="s">
        <v>988</v>
      </c>
      <c r="C944" s="4" t="s">
        <v>999</v>
      </c>
      <c r="D944" s="4">
        <v>2</v>
      </c>
      <c r="E944" s="4">
        <v>953</v>
      </c>
      <c r="F944" s="4">
        <v>6399771</v>
      </c>
      <c r="G944" s="4">
        <v>1</v>
      </c>
      <c r="H944" s="4">
        <v>2</v>
      </c>
      <c r="I944" s="4" t="s">
        <v>18</v>
      </c>
      <c r="J944" s="4" t="s">
        <v>23</v>
      </c>
      <c r="K944" s="4" t="s">
        <v>20</v>
      </c>
      <c r="L944" s="9">
        <v>45383</v>
      </c>
      <c r="M944" s="9" t="str">
        <f>TEXT(Source_data[[#This Row],[Listing_Date]],"mmm-yy")</f>
        <v>Apr-24</v>
      </c>
      <c r="N944" s="4">
        <f t="shared" si="14"/>
        <v>6715.3945435466949</v>
      </c>
      <c r="O944" s="3" cm="1">
        <f t="array" ref="O944">_xlfn.IFS(AND(K944="Broker",J944="Resale"),F944*0.5,AND(K944="Owner",J944="Resale"),F944*0,AND(K944="Builder",J944="Resale"),F944*0.3,AND(J944="New",K944="Broker"),F944*0.1,AND(J944="New",K944="Owner"),F944*0,AND(J944="New",K944="Builder"),F944*0.5)</f>
        <v>3199885.5</v>
      </c>
    </row>
    <row r="945" spans="1:15" x14ac:dyDescent="0.3">
      <c r="A945" s="8" t="s">
        <v>1014</v>
      </c>
      <c r="B945" s="4" t="s">
        <v>988</v>
      </c>
      <c r="C945" s="4" t="s">
        <v>993</v>
      </c>
      <c r="D945" s="4">
        <v>1</v>
      </c>
      <c r="E945" s="4">
        <v>628</v>
      </c>
      <c r="F945" s="4">
        <v>4551312</v>
      </c>
      <c r="G945" s="4">
        <v>1</v>
      </c>
      <c r="H945" s="4">
        <v>3</v>
      </c>
      <c r="I945" s="4" t="s">
        <v>18</v>
      </c>
      <c r="J945" s="4" t="s">
        <v>19</v>
      </c>
      <c r="K945" s="4" t="s">
        <v>36</v>
      </c>
      <c r="L945" s="9">
        <v>45534</v>
      </c>
      <c r="M945" s="9" t="str">
        <f>TEXT(Source_data[[#This Row],[Listing_Date]],"mmm-yy")</f>
        <v>Aug-24</v>
      </c>
      <c r="N945" s="4">
        <f t="shared" si="14"/>
        <v>7247.3121019108285</v>
      </c>
      <c r="O945" s="3" cm="1">
        <f t="array" ref="O945">_xlfn.IFS(AND(K945="Broker",J945="Resale"),F945*0.5,AND(K945="Owner",J945="Resale"),F945*0,AND(K945="Builder",J945="Resale"),F945*0.3,AND(J945="New",K945="Broker"),F945*0.1,AND(J945="New",K945="Owner"),F945*0,AND(J945="New",K945="Builder"),F945*0.5)</f>
        <v>0</v>
      </c>
    </row>
    <row r="946" spans="1:15" x14ac:dyDescent="0.3">
      <c r="A946" s="8" t="s">
        <v>1015</v>
      </c>
      <c r="B946" s="4" t="s">
        <v>988</v>
      </c>
      <c r="C946" s="4" t="s">
        <v>989</v>
      </c>
      <c r="D946" s="4">
        <v>2</v>
      </c>
      <c r="E946" s="4">
        <v>664</v>
      </c>
      <c r="F946" s="4">
        <v>3946768</v>
      </c>
      <c r="G946" s="4">
        <v>3</v>
      </c>
      <c r="H946" s="4">
        <v>1</v>
      </c>
      <c r="I946" s="4" t="s">
        <v>18</v>
      </c>
      <c r="J946" s="4" t="s">
        <v>19</v>
      </c>
      <c r="K946" s="4" t="s">
        <v>24</v>
      </c>
      <c r="L946" s="9">
        <v>45610</v>
      </c>
      <c r="M946" s="9" t="str">
        <f>TEXT(Source_data[[#This Row],[Listing_Date]],"mmm-yy")</f>
        <v>Nov-24</v>
      </c>
      <c r="N946" s="4">
        <f t="shared" si="14"/>
        <v>5943.9277108433735</v>
      </c>
      <c r="O946" s="3" cm="1">
        <f t="array" ref="O946">_xlfn.IFS(AND(K946="Broker",J946="Resale"),F946*0.5,AND(K946="Owner",J946="Resale"),F946*0,AND(K946="Builder",J946="Resale"),F946*0.3,AND(J946="New",K946="Broker"),F946*0.1,AND(J946="New",K946="Owner"),F946*0,AND(J946="New",K946="Builder"),F946*0.5)</f>
        <v>1973384</v>
      </c>
    </row>
    <row r="947" spans="1:15" x14ac:dyDescent="0.3">
      <c r="A947" s="8" t="s">
        <v>1016</v>
      </c>
      <c r="B947" s="4" t="s">
        <v>988</v>
      </c>
      <c r="C947" s="4" t="s">
        <v>995</v>
      </c>
      <c r="D947" s="4">
        <v>2</v>
      </c>
      <c r="E947" s="4">
        <v>947</v>
      </c>
      <c r="F947" s="4">
        <v>6407578</v>
      </c>
      <c r="G947" s="4">
        <v>3</v>
      </c>
      <c r="H947" s="4">
        <v>1</v>
      </c>
      <c r="I947" s="4" t="s">
        <v>27</v>
      </c>
      <c r="J947" s="4" t="s">
        <v>23</v>
      </c>
      <c r="K947" s="4" t="s">
        <v>36</v>
      </c>
      <c r="L947" s="9">
        <v>45634</v>
      </c>
      <c r="M947" s="9" t="str">
        <f>TEXT(Source_data[[#This Row],[Listing_Date]],"mmm-yy")</f>
        <v>Dec-24</v>
      </c>
      <c r="N947" s="4">
        <f t="shared" si="14"/>
        <v>6766.1858500527987</v>
      </c>
      <c r="O947" s="3" cm="1">
        <f t="array" ref="O947">_xlfn.IFS(AND(K947="Broker",J947="Resale"),F947*0.5,AND(K947="Owner",J947="Resale"),F947*0,AND(K947="Builder",J947="Resale"),F947*0.3,AND(J947="New",K947="Broker"),F947*0.1,AND(J947="New",K947="Owner"),F947*0,AND(J947="New",K947="Builder"),F947*0.5)</f>
        <v>0</v>
      </c>
    </row>
    <row r="948" spans="1:15" x14ac:dyDescent="0.3">
      <c r="A948" s="8" t="s">
        <v>1017</v>
      </c>
      <c r="B948" s="4" t="s">
        <v>988</v>
      </c>
      <c r="C948" s="4" t="s">
        <v>999</v>
      </c>
      <c r="D948" s="4">
        <v>1</v>
      </c>
      <c r="E948" s="4">
        <v>699</v>
      </c>
      <c r="F948" s="4">
        <v>6005216</v>
      </c>
      <c r="G948" s="4">
        <v>2</v>
      </c>
      <c r="H948" s="4">
        <v>2</v>
      </c>
      <c r="I948" s="4" t="s">
        <v>27</v>
      </c>
      <c r="J948" s="4" t="s">
        <v>23</v>
      </c>
      <c r="K948" s="4" t="s">
        <v>20</v>
      </c>
      <c r="L948" s="9">
        <v>45610</v>
      </c>
      <c r="M948" s="9" t="str">
        <f>TEXT(Source_data[[#This Row],[Listing_Date]],"mmm-yy")</f>
        <v>Nov-24</v>
      </c>
      <c r="N948" s="4">
        <f t="shared" si="14"/>
        <v>8591.1530758226036</v>
      </c>
      <c r="O948" s="3" cm="1">
        <f t="array" ref="O948">_xlfn.IFS(AND(K948="Broker",J948="Resale"),F948*0.5,AND(K948="Owner",J948="Resale"),F948*0,AND(K948="Builder",J948="Resale"),F948*0.3,AND(J948="New",K948="Broker"),F948*0.1,AND(J948="New",K948="Owner"),F948*0,AND(J948="New",K948="Builder"),F948*0.5)</f>
        <v>3002608</v>
      </c>
    </row>
    <row r="949" spans="1:15" x14ac:dyDescent="0.3">
      <c r="A949" s="8" t="s">
        <v>1018</v>
      </c>
      <c r="B949" s="4" t="s">
        <v>988</v>
      </c>
      <c r="C949" s="4" t="s">
        <v>999</v>
      </c>
      <c r="D949" s="4">
        <v>1</v>
      </c>
      <c r="E949" s="4">
        <v>685</v>
      </c>
      <c r="F949" s="4">
        <v>4089095</v>
      </c>
      <c r="G949" s="4">
        <v>1</v>
      </c>
      <c r="H949" s="4">
        <v>2</v>
      </c>
      <c r="I949" s="4" t="s">
        <v>18</v>
      </c>
      <c r="J949" s="4" t="s">
        <v>23</v>
      </c>
      <c r="K949" s="4" t="s">
        <v>20</v>
      </c>
      <c r="L949" s="9">
        <v>45359</v>
      </c>
      <c r="M949" s="9" t="str">
        <f>TEXT(Source_data[[#This Row],[Listing_Date]],"mmm-yy")</f>
        <v>Mar-24</v>
      </c>
      <c r="N949" s="4">
        <f t="shared" si="14"/>
        <v>5969.4817518248174</v>
      </c>
      <c r="O949" s="3" cm="1">
        <f t="array" ref="O949">_xlfn.IFS(AND(K949="Broker",J949="Resale"),F949*0.5,AND(K949="Owner",J949="Resale"),F949*0,AND(K949="Builder",J949="Resale"),F949*0.3,AND(J949="New",K949="Broker"),F949*0.1,AND(J949="New",K949="Owner"),F949*0,AND(J949="New",K949="Builder"),F949*0.5)</f>
        <v>2044547.5</v>
      </c>
    </row>
    <row r="950" spans="1:15" x14ac:dyDescent="0.3">
      <c r="A950" s="8" t="s">
        <v>1019</v>
      </c>
      <c r="B950" s="4" t="s">
        <v>988</v>
      </c>
      <c r="C950" s="4" t="s">
        <v>989</v>
      </c>
      <c r="D950" s="4">
        <v>5</v>
      </c>
      <c r="E950" s="4">
        <v>1683</v>
      </c>
      <c r="F950" s="4">
        <v>12227900</v>
      </c>
      <c r="G950" s="4">
        <v>3</v>
      </c>
      <c r="H950" s="4">
        <v>2</v>
      </c>
      <c r="I950" s="4" t="s">
        <v>18</v>
      </c>
      <c r="J950" s="4" t="s">
        <v>19</v>
      </c>
      <c r="K950" s="4" t="s">
        <v>36</v>
      </c>
      <c r="L950" s="9">
        <v>45140</v>
      </c>
      <c r="M950" s="9" t="str">
        <f>TEXT(Source_data[[#This Row],[Listing_Date]],"mmm-yy")</f>
        <v>Aug-23</v>
      </c>
      <c r="N950" s="4">
        <f t="shared" si="14"/>
        <v>7265.5377302436127</v>
      </c>
      <c r="O950" s="3" cm="1">
        <f t="array" ref="O950">_xlfn.IFS(AND(K950="Broker",J950="Resale"),F950*0.5,AND(K950="Owner",J950="Resale"),F950*0,AND(K950="Builder",J950="Resale"),F950*0.3,AND(J950="New",K950="Broker"),F950*0.1,AND(J950="New",K950="Owner"),F950*0,AND(J950="New",K950="Builder"),F950*0.5)</f>
        <v>0</v>
      </c>
    </row>
    <row r="951" spans="1:15" x14ac:dyDescent="0.3">
      <c r="A951" s="8" t="s">
        <v>1020</v>
      </c>
      <c r="B951" s="4" t="s">
        <v>988</v>
      </c>
      <c r="C951" s="4" t="s">
        <v>1007</v>
      </c>
      <c r="D951" s="4">
        <v>1</v>
      </c>
      <c r="E951" s="4">
        <v>623</v>
      </c>
      <c r="F951" s="4">
        <v>4093700</v>
      </c>
      <c r="G951" s="4">
        <v>2</v>
      </c>
      <c r="H951" s="4">
        <v>2</v>
      </c>
      <c r="I951" s="4" t="s">
        <v>8</v>
      </c>
      <c r="J951" s="4" t="s">
        <v>23</v>
      </c>
      <c r="K951" s="4" t="s">
        <v>24</v>
      </c>
      <c r="L951" s="9">
        <v>44943</v>
      </c>
      <c r="M951" s="9" t="str">
        <f>TEXT(Source_data[[#This Row],[Listing_Date]],"mmm-yy")</f>
        <v>Jan-23</v>
      </c>
      <c r="N951" s="4">
        <f t="shared" si="14"/>
        <v>6570.9470304975921</v>
      </c>
      <c r="O951" s="3" cm="1">
        <f t="array" ref="O951">_xlfn.IFS(AND(K951="Broker",J951="Resale"),F951*0.5,AND(K951="Owner",J951="Resale"),F951*0,AND(K951="Builder",J951="Resale"),F951*0.3,AND(J951="New",K951="Broker"),F951*0.1,AND(J951="New",K951="Owner"),F951*0,AND(J951="New",K951="Builder"),F951*0.5)</f>
        <v>1228110</v>
      </c>
    </row>
    <row r="952" spans="1:15" x14ac:dyDescent="0.3">
      <c r="A952" s="8" t="s">
        <v>1021</v>
      </c>
      <c r="B952" s="4" t="s">
        <v>988</v>
      </c>
      <c r="C952" s="4" t="s">
        <v>999</v>
      </c>
      <c r="D952" s="4">
        <v>2</v>
      </c>
      <c r="E952" s="4">
        <v>1463</v>
      </c>
      <c r="F952" s="4">
        <v>7262555</v>
      </c>
      <c r="G952" s="4">
        <v>2</v>
      </c>
      <c r="H952" s="4">
        <v>0</v>
      </c>
      <c r="I952" s="4" t="s">
        <v>18</v>
      </c>
      <c r="J952" s="4" t="s">
        <v>19</v>
      </c>
      <c r="K952" s="4" t="s">
        <v>36</v>
      </c>
      <c r="L952" s="9">
        <v>45184</v>
      </c>
      <c r="M952" s="9" t="str">
        <f>TEXT(Source_data[[#This Row],[Listing_Date]],"mmm-yy")</f>
        <v>Sep-23</v>
      </c>
      <c r="N952" s="4">
        <f t="shared" si="14"/>
        <v>4964.1524265208473</v>
      </c>
      <c r="O952" s="3" cm="1">
        <f t="array" ref="O952">_xlfn.IFS(AND(K952="Broker",J952="Resale"),F952*0.5,AND(K952="Owner",J952="Resale"),F952*0,AND(K952="Builder",J952="Resale"),F952*0.3,AND(J952="New",K952="Broker"),F952*0.1,AND(J952="New",K952="Owner"),F952*0,AND(J952="New",K952="Builder"),F952*0.5)</f>
        <v>0</v>
      </c>
    </row>
    <row r="953" spans="1:15" x14ac:dyDescent="0.3">
      <c r="A953" s="8" t="s">
        <v>1022</v>
      </c>
      <c r="B953" s="4" t="s">
        <v>988</v>
      </c>
      <c r="C953" s="4" t="s">
        <v>995</v>
      </c>
      <c r="D953" s="4">
        <v>3</v>
      </c>
      <c r="E953" s="4">
        <v>1548</v>
      </c>
      <c r="F953" s="4">
        <v>9120538</v>
      </c>
      <c r="G953" s="4">
        <v>3</v>
      </c>
      <c r="H953" s="4">
        <v>1</v>
      </c>
      <c r="I953" s="4" t="s">
        <v>8</v>
      </c>
      <c r="J953" s="4" t="s">
        <v>23</v>
      </c>
      <c r="K953" s="4" t="s">
        <v>36</v>
      </c>
      <c r="L953" s="9">
        <v>45380</v>
      </c>
      <c r="M953" s="9" t="str">
        <f>TEXT(Source_data[[#This Row],[Listing_Date]],"mmm-yy")</f>
        <v>Mar-24</v>
      </c>
      <c r="N953" s="4">
        <f t="shared" si="14"/>
        <v>5891.8204134366924</v>
      </c>
      <c r="O953" s="3" cm="1">
        <f t="array" ref="O953">_xlfn.IFS(AND(K953="Broker",J953="Resale"),F953*0.5,AND(K953="Owner",J953="Resale"),F953*0,AND(K953="Builder",J953="Resale"),F953*0.3,AND(J953="New",K953="Broker"),F953*0.1,AND(J953="New",K953="Owner"),F953*0,AND(J953="New",K953="Builder"),F953*0.5)</f>
        <v>0</v>
      </c>
    </row>
    <row r="954" spans="1:15" x14ac:dyDescent="0.3">
      <c r="A954" s="8" t="s">
        <v>1023</v>
      </c>
      <c r="B954" s="4" t="s">
        <v>988</v>
      </c>
      <c r="C954" s="4" t="s">
        <v>995</v>
      </c>
      <c r="D954" s="4">
        <v>2</v>
      </c>
      <c r="E954" s="4">
        <v>1174</v>
      </c>
      <c r="F954" s="4">
        <v>7752797</v>
      </c>
      <c r="G954" s="4">
        <v>2</v>
      </c>
      <c r="H954" s="4">
        <v>1</v>
      </c>
      <c r="I954" s="4" t="s">
        <v>8</v>
      </c>
      <c r="J954" s="4" t="s">
        <v>19</v>
      </c>
      <c r="K954" s="4" t="s">
        <v>24</v>
      </c>
      <c r="L954" s="9">
        <v>45413</v>
      </c>
      <c r="M954" s="9" t="str">
        <f>TEXT(Source_data[[#This Row],[Listing_Date]],"mmm-yy")</f>
        <v>May-24</v>
      </c>
      <c r="N954" s="4">
        <f t="shared" si="14"/>
        <v>6603.7453151618402</v>
      </c>
      <c r="O954" s="3" cm="1">
        <f t="array" ref="O954">_xlfn.IFS(AND(K954="Broker",J954="Resale"),F954*0.5,AND(K954="Owner",J954="Resale"),F954*0,AND(K954="Builder",J954="Resale"),F954*0.3,AND(J954="New",K954="Broker"),F954*0.1,AND(J954="New",K954="Owner"),F954*0,AND(J954="New",K954="Builder"),F954*0.5)</f>
        <v>3876398.5</v>
      </c>
    </row>
    <row r="955" spans="1:15" x14ac:dyDescent="0.3">
      <c r="A955" s="8" t="s">
        <v>1024</v>
      </c>
      <c r="B955" s="4" t="s">
        <v>988</v>
      </c>
      <c r="C955" s="4" t="s">
        <v>989</v>
      </c>
      <c r="D955" s="4">
        <v>1</v>
      </c>
      <c r="E955" s="4">
        <v>462</v>
      </c>
      <c r="F955" s="4">
        <v>2920423</v>
      </c>
      <c r="G955" s="4">
        <v>1</v>
      </c>
      <c r="H955" s="4">
        <v>2</v>
      </c>
      <c r="I955" s="4" t="s">
        <v>18</v>
      </c>
      <c r="J955" s="4" t="s">
        <v>19</v>
      </c>
      <c r="K955" s="4" t="s">
        <v>36</v>
      </c>
      <c r="L955" s="9">
        <v>45078</v>
      </c>
      <c r="M955" s="9" t="str">
        <f>TEXT(Source_data[[#This Row],[Listing_Date]],"mmm-yy")</f>
        <v>Jun-23</v>
      </c>
      <c r="N955" s="4">
        <f t="shared" si="14"/>
        <v>6321.2619047619046</v>
      </c>
      <c r="O955" s="3" cm="1">
        <f t="array" ref="O955">_xlfn.IFS(AND(K955="Broker",J955="Resale"),F955*0.5,AND(K955="Owner",J955="Resale"),F955*0,AND(K955="Builder",J955="Resale"),F955*0.3,AND(J955="New",K955="Broker"),F955*0.1,AND(J955="New",K955="Owner"),F955*0,AND(J955="New",K955="Builder"),F955*0.5)</f>
        <v>0</v>
      </c>
    </row>
    <row r="956" spans="1:15" x14ac:dyDescent="0.3">
      <c r="A956" s="8" t="s">
        <v>1025</v>
      </c>
      <c r="B956" s="4" t="s">
        <v>988</v>
      </c>
      <c r="C956" s="4" t="s">
        <v>989</v>
      </c>
      <c r="D956" s="4">
        <v>2</v>
      </c>
      <c r="E956" s="4">
        <v>1173</v>
      </c>
      <c r="F956" s="4">
        <v>9213896</v>
      </c>
      <c r="G956" s="4">
        <v>2</v>
      </c>
      <c r="H956" s="4">
        <v>2</v>
      </c>
      <c r="I956" s="4" t="s">
        <v>8</v>
      </c>
      <c r="J956" s="4" t="s">
        <v>19</v>
      </c>
      <c r="K956" s="4" t="s">
        <v>20</v>
      </c>
      <c r="L956" s="9">
        <v>45330</v>
      </c>
      <c r="M956" s="9" t="str">
        <f>TEXT(Source_data[[#This Row],[Listing_Date]],"mmm-yy")</f>
        <v>Feb-24</v>
      </c>
      <c r="N956" s="4">
        <f t="shared" si="14"/>
        <v>7854.9838022165386</v>
      </c>
      <c r="O956" s="3" cm="1">
        <f t="array" ref="O956">_xlfn.IFS(AND(K956="Broker",J956="Resale"),F956*0.5,AND(K956="Owner",J956="Resale"),F956*0,AND(K956="Builder",J956="Resale"),F956*0.3,AND(J956="New",K956="Broker"),F956*0.1,AND(J956="New",K956="Owner"),F956*0,AND(J956="New",K956="Builder"),F956*0.5)</f>
        <v>921389.60000000009</v>
      </c>
    </row>
    <row r="957" spans="1:15" x14ac:dyDescent="0.3">
      <c r="A957" s="8" t="s">
        <v>1026</v>
      </c>
      <c r="B957" s="4" t="s">
        <v>988</v>
      </c>
      <c r="C957" s="4" t="s">
        <v>1007</v>
      </c>
      <c r="D957" s="4">
        <v>3</v>
      </c>
      <c r="E957" s="4">
        <v>1860</v>
      </c>
      <c r="F957" s="4">
        <v>10373875</v>
      </c>
      <c r="G957" s="4">
        <v>2</v>
      </c>
      <c r="H957" s="4">
        <v>2</v>
      </c>
      <c r="I957" s="4" t="s">
        <v>27</v>
      </c>
      <c r="J957" s="4" t="s">
        <v>19</v>
      </c>
      <c r="K957" s="4" t="s">
        <v>24</v>
      </c>
      <c r="L957" s="9">
        <v>45578</v>
      </c>
      <c r="M957" s="9" t="str">
        <f>TEXT(Source_data[[#This Row],[Listing_Date]],"mmm-yy")</f>
        <v>Oct-24</v>
      </c>
      <c r="N957" s="4">
        <f t="shared" si="14"/>
        <v>5577.3521505376348</v>
      </c>
      <c r="O957" s="3" cm="1">
        <f t="array" ref="O957">_xlfn.IFS(AND(K957="Broker",J957="Resale"),F957*0.5,AND(K957="Owner",J957="Resale"),F957*0,AND(K957="Builder",J957="Resale"),F957*0.3,AND(J957="New",K957="Broker"),F957*0.1,AND(J957="New",K957="Owner"),F957*0,AND(J957="New",K957="Builder"),F957*0.5)</f>
        <v>5186937.5</v>
      </c>
    </row>
    <row r="958" spans="1:15" x14ac:dyDescent="0.3">
      <c r="A958" s="8" t="s">
        <v>1027</v>
      </c>
      <c r="B958" s="4" t="s">
        <v>988</v>
      </c>
      <c r="C958" s="4" t="s">
        <v>991</v>
      </c>
      <c r="D958" s="4">
        <v>3</v>
      </c>
      <c r="E958" s="4">
        <v>1574</v>
      </c>
      <c r="F958" s="4">
        <v>9298952</v>
      </c>
      <c r="G958" s="4">
        <v>3</v>
      </c>
      <c r="H958" s="4">
        <v>1</v>
      </c>
      <c r="I958" s="4" t="s">
        <v>18</v>
      </c>
      <c r="J958" s="4" t="s">
        <v>19</v>
      </c>
      <c r="K958" s="4" t="s">
        <v>24</v>
      </c>
      <c r="L958" s="9">
        <v>45819</v>
      </c>
      <c r="M958" s="9" t="str">
        <f>TEXT(Source_data[[#This Row],[Listing_Date]],"mmm-yy")</f>
        <v>Jun-25</v>
      </c>
      <c r="N958" s="4">
        <f t="shared" si="14"/>
        <v>5907.8475222363404</v>
      </c>
      <c r="O958" s="3" cm="1">
        <f t="array" ref="O958">_xlfn.IFS(AND(K958="Broker",J958="Resale"),F958*0.5,AND(K958="Owner",J958="Resale"),F958*0,AND(K958="Builder",J958="Resale"),F958*0.3,AND(J958="New",K958="Broker"),F958*0.1,AND(J958="New",K958="Owner"),F958*0,AND(J958="New",K958="Builder"),F958*0.5)</f>
        <v>4649476</v>
      </c>
    </row>
    <row r="959" spans="1:15" x14ac:dyDescent="0.3">
      <c r="A959" s="8" t="s">
        <v>1028</v>
      </c>
      <c r="B959" s="4" t="s">
        <v>988</v>
      </c>
      <c r="C959" s="4" t="s">
        <v>999</v>
      </c>
      <c r="D959" s="4">
        <v>3</v>
      </c>
      <c r="E959" s="4">
        <v>784</v>
      </c>
      <c r="F959" s="4">
        <v>19468285</v>
      </c>
      <c r="G959" s="4">
        <v>3</v>
      </c>
      <c r="H959" s="4">
        <v>4</v>
      </c>
      <c r="I959" s="4" t="s">
        <v>8</v>
      </c>
      <c r="J959" s="4" t="s">
        <v>23</v>
      </c>
      <c r="K959" s="4" t="s">
        <v>36</v>
      </c>
      <c r="L959" s="9">
        <v>45318</v>
      </c>
      <c r="M959" s="9" t="str">
        <f>TEXT(Source_data[[#This Row],[Listing_Date]],"mmm-yy")</f>
        <v>Jan-24</v>
      </c>
      <c r="N959" s="4">
        <f t="shared" si="14"/>
        <v>24831.996173469386</v>
      </c>
      <c r="O959" s="3" cm="1">
        <f t="array" ref="O959">_xlfn.IFS(AND(K959="Broker",J959="Resale"),F959*0.5,AND(K959="Owner",J959="Resale"),F959*0,AND(K959="Builder",J959="Resale"),F959*0.3,AND(J959="New",K959="Broker"),F959*0.1,AND(J959="New",K959="Owner"),F959*0,AND(J959="New",K959="Builder"),F959*0.5)</f>
        <v>0</v>
      </c>
    </row>
    <row r="960" spans="1:15" x14ac:dyDescent="0.3">
      <c r="A960" s="8" t="s">
        <v>1029</v>
      </c>
      <c r="B960" s="4" t="s">
        <v>988</v>
      </c>
      <c r="C960" s="4" t="s">
        <v>995</v>
      </c>
      <c r="D960" s="4">
        <v>3</v>
      </c>
      <c r="E960" s="4">
        <v>1515</v>
      </c>
      <c r="F960" s="4">
        <v>10098147</v>
      </c>
      <c r="G960" s="4">
        <v>3</v>
      </c>
      <c r="H960" s="4">
        <v>0</v>
      </c>
      <c r="I960" s="4" t="s">
        <v>8</v>
      </c>
      <c r="J960" s="4" t="s">
        <v>23</v>
      </c>
      <c r="K960" s="4" t="s">
        <v>36</v>
      </c>
      <c r="L960" s="9">
        <v>45562</v>
      </c>
      <c r="M960" s="9" t="str">
        <f>TEXT(Source_data[[#This Row],[Listing_Date]],"mmm-yy")</f>
        <v>Sep-24</v>
      </c>
      <c r="N960" s="4">
        <f t="shared" si="14"/>
        <v>6665.4435643564357</v>
      </c>
      <c r="O960" s="3" cm="1">
        <f t="array" ref="O960">_xlfn.IFS(AND(K960="Broker",J960="Resale"),F960*0.5,AND(K960="Owner",J960="Resale"),F960*0,AND(K960="Builder",J960="Resale"),F960*0.3,AND(J960="New",K960="Broker"),F960*0.1,AND(J960="New",K960="Owner"),F960*0,AND(J960="New",K960="Builder"),F960*0.5)</f>
        <v>0</v>
      </c>
    </row>
    <row r="961" spans="1:15" x14ac:dyDescent="0.3">
      <c r="A961" s="8" t="s">
        <v>1030</v>
      </c>
      <c r="B961" s="4" t="s">
        <v>988</v>
      </c>
      <c r="C961" s="4" t="s">
        <v>1007</v>
      </c>
      <c r="D961" s="4">
        <v>3</v>
      </c>
      <c r="E961" s="4">
        <v>906</v>
      </c>
      <c r="F961" s="4">
        <v>6394312</v>
      </c>
      <c r="G961" s="4">
        <v>4</v>
      </c>
      <c r="H961" s="4">
        <v>3</v>
      </c>
      <c r="I961" s="4" t="s">
        <v>8</v>
      </c>
      <c r="J961" s="4" t="s">
        <v>23</v>
      </c>
      <c r="K961" s="4" t="s">
        <v>36</v>
      </c>
      <c r="L961" s="9">
        <v>45528</v>
      </c>
      <c r="M961" s="9" t="str">
        <f>TEXT(Source_data[[#This Row],[Listing_Date]],"mmm-yy")</f>
        <v>Aug-24</v>
      </c>
      <c r="N961" s="4">
        <f t="shared" si="14"/>
        <v>7057.7395143487856</v>
      </c>
      <c r="O961" s="3" cm="1">
        <f t="array" ref="O961">_xlfn.IFS(AND(K961="Broker",J961="Resale"),F961*0.5,AND(K961="Owner",J961="Resale"),F961*0,AND(K961="Builder",J961="Resale"),F961*0.3,AND(J961="New",K961="Broker"),F961*0.1,AND(J961="New",K961="Owner"),F961*0,AND(J961="New",K961="Builder"),F961*0.5)</f>
        <v>0</v>
      </c>
    </row>
    <row r="962" spans="1:15" x14ac:dyDescent="0.3">
      <c r="A962" s="8" t="s">
        <v>1031</v>
      </c>
      <c r="B962" s="4" t="s">
        <v>988</v>
      </c>
      <c r="C962" s="4" t="s">
        <v>989</v>
      </c>
      <c r="D962" s="4">
        <v>5</v>
      </c>
      <c r="E962" s="4">
        <v>2221</v>
      </c>
      <c r="F962" s="4">
        <v>17523330</v>
      </c>
      <c r="G962" s="4">
        <v>3</v>
      </c>
      <c r="H962" s="4">
        <v>1</v>
      </c>
      <c r="I962" s="4" t="s">
        <v>8</v>
      </c>
      <c r="J962" s="4" t="s">
        <v>19</v>
      </c>
      <c r="K962" s="4" t="s">
        <v>36</v>
      </c>
      <c r="L962" s="9">
        <v>44985</v>
      </c>
      <c r="M962" s="9" t="str">
        <f>TEXT(Source_data[[#This Row],[Listing_Date]],"mmm-yy")</f>
        <v>Feb-23</v>
      </c>
      <c r="N962" s="4">
        <f t="shared" si="14"/>
        <v>7889.837910850968</v>
      </c>
      <c r="O962" s="3" cm="1">
        <f t="array" ref="O962">_xlfn.IFS(AND(K962="Broker",J962="Resale"),F962*0.5,AND(K962="Owner",J962="Resale"),F962*0,AND(K962="Builder",J962="Resale"),F962*0.3,AND(J962="New",K962="Broker"),F962*0.1,AND(J962="New",K962="Owner"),F962*0,AND(J962="New",K962="Builder"),F962*0.5)</f>
        <v>0</v>
      </c>
    </row>
    <row r="963" spans="1:15" x14ac:dyDescent="0.3">
      <c r="A963" s="8" t="s">
        <v>1032</v>
      </c>
      <c r="B963" s="4" t="s">
        <v>988</v>
      </c>
      <c r="C963" s="4" t="s">
        <v>1007</v>
      </c>
      <c r="D963" s="4">
        <v>3</v>
      </c>
      <c r="E963" s="4">
        <v>1308</v>
      </c>
      <c r="F963" s="4">
        <v>9672200</v>
      </c>
      <c r="G963" s="4">
        <v>2</v>
      </c>
      <c r="H963" s="4">
        <v>4</v>
      </c>
      <c r="I963" s="4" t="s">
        <v>27</v>
      </c>
      <c r="J963" s="4" t="s">
        <v>19</v>
      </c>
      <c r="K963" s="4" t="s">
        <v>20</v>
      </c>
      <c r="L963" s="9">
        <v>44952</v>
      </c>
      <c r="M963" s="9" t="str">
        <f>TEXT(Source_data[[#This Row],[Listing_Date]],"mmm-yy")</f>
        <v>Jan-23</v>
      </c>
      <c r="N963" s="4">
        <f t="shared" ref="N963:N1026" si="15">F963/E963</f>
        <v>7394.6483180428131</v>
      </c>
      <c r="O963" s="3" cm="1">
        <f t="array" ref="O963">_xlfn.IFS(AND(K963="Broker",J963="Resale"),F963*0.5,AND(K963="Owner",J963="Resale"),F963*0,AND(K963="Builder",J963="Resale"),F963*0.3,AND(J963="New",K963="Broker"),F963*0.1,AND(J963="New",K963="Owner"),F963*0,AND(J963="New",K963="Builder"),F963*0.5)</f>
        <v>967220</v>
      </c>
    </row>
    <row r="964" spans="1:15" x14ac:dyDescent="0.3">
      <c r="A964" s="8" t="s">
        <v>1033</v>
      </c>
      <c r="B964" s="4" t="s">
        <v>988</v>
      </c>
      <c r="C964" s="4" t="s">
        <v>991</v>
      </c>
      <c r="D964" s="4">
        <v>3</v>
      </c>
      <c r="E964" s="4">
        <v>1281</v>
      </c>
      <c r="F964" s="4">
        <v>9111337</v>
      </c>
      <c r="G964" s="4">
        <v>3</v>
      </c>
      <c r="H964" s="4">
        <v>2</v>
      </c>
      <c r="I964" s="4" t="s">
        <v>8</v>
      </c>
      <c r="J964" s="4" t="s">
        <v>19</v>
      </c>
      <c r="K964" s="4" t="s">
        <v>36</v>
      </c>
      <c r="L964" s="9">
        <v>45081</v>
      </c>
      <c r="M964" s="9" t="str">
        <f>TEXT(Source_data[[#This Row],[Listing_Date]],"mmm-yy")</f>
        <v>Jun-23</v>
      </c>
      <c r="N964" s="4">
        <f t="shared" si="15"/>
        <v>7112.6752537080401</v>
      </c>
      <c r="O964" s="3" cm="1">
        <f t="array" ref="O964">_xlfn.IFS(AND(K964="Broker",J964="Resale"),F964*0.5,AND(K964="Owner",J964="Resale"),F964*0,AND(K964="Builder",J964="Resale"),F964*0.3,AND(J964="New",K964="Broker"),F964*0.1,AND(J964="New",K964="Owner"),F964*0,AND(J964="New",K964="Builder"),F964*0.5)</f>
        <v>0</v>
      </c>
    </row>
    <row r="965" spans="1:15" x14ac:dyDescent="0.3">
      <c r="A965" s="8" t="s">
        <v>1034</v>
      </c>
      <c r="B965" s="4" t="s">
        <v>988</v>
      </c>
      <c r="C965" s="4" t="s">
        <v>1007</v>
      </c>
      <c r="D965" s="4">
        <v>3</v>
      </c>
      <c r="E965" s="4">
        <v>2066</v>
      </c>
      <c r="F965" s="4">
        <v>14874266</v>
      </c>
      <c r="G965" s="4">
        <v>4</v>
      </c>
      <c r="H965" s="4">
        <v>2</v>
      </c>
      <c r="I965" s="4" t="s">
        <v>27</v>
      </c>
      <c r="J965" s="4" t="s">
        <v>19</v>
      </c>
      <c r="K965" s="4" t="s">
        <v>36</v>
      </c>
      <c r="L965" s="9">
        <v>45874</v>
      </c>
      <c r="M965" s="9" t="str">
        <f>TEXT(Source_data[[#This Row],[Listing_Date]],"mmm-yy")</f>
        <v>Aug-25</v>
      </c>
      <c r="N965" s="4">
        <f t="shared" si="15"/>
        <v>7199.5479186834464</v>
      </c>
      <c r="O965" s="3" cm="1">
        <f t="array" ref="O965">_xlfn.IFS(AND(K965="Broker",J965="Resale"),F965*0.5,AND(K965="Owner",J965="Resale"),F965*0,AND(K965="Builder",J965="Resale"),F965*0.3,AND(J965="New",K965="Broker"),F965*0.1,AND(J965="New",K965="Owner"),F965*0,AND(J965="New",K965="Builder"),F965*0.5)</f>
        <v>0</v>
      </c>
    </row>
    <row r="966" spans="1:15" x14ac:dyDescent="0.3">
      <c r="A966" s="8" t="s">
        <v>1035</v>
      </c>
      <c r="B966" s="4" t="s">
        <v>988</v>
      </c>
      <c r="C966" s="4" t="s">
        <v>993</v>
      </c>
      <c r="D966" s="4">
        <v>2</v>
      </c>
      <c r="E966" s="4">
        <v>1445</v>
      </c>
      <c r="F966" s="4">
        <v>12199731</v>
      </c>
      <c r="G966" s="4">
        <v>2</v>
      </c>
      <c r="H966" s="4">
        <v>1</v>
      </c>
      <c r="I966" s="4" t="s">
        <v>18</v>
      </c>
      <c r="J966" s="4" t="s">
        <v>23</v>
      </c>
      <c r="K966" s="4" t="s">
        <v>36</v>
      </c>
      <c r="L966" s="9">
        <v>45494</v>
      </c>
      <c r="M966" s="9" t="str">
        <f>TEXT(Source_data[[#This Row],[Listing_Date]],"mmm-yy")</f>
        <v>Jul-24</v>
      </c>
      <c r="N966" s="4">
        <f t="shared" si="15"/>
        <v>8442.7204152249142</v>
      </c>
      <c r="O966" s="3" cm="1">
        <f t="array" ref="O966">_xlfn.IFS(AND(K966="Broker",J966="Resale"),F966*0.5,AND(K966="Owner",J966="Resale"),F966*0,AND(K966="Builder",J966="Resale"),F966*0.3,AND(J966="New",K966="Broker"),F966*0.1,AND(J966="New",K966="Owner"),F966*0,AND(J966="New",K966="Builder"),F966*0.5)</f>
        <v>0</v>
      </c>
    </row>
    <row r="967" spans="1:15" x14ac:dyDescent="0.3">
      <c r="A967" s="8" t="s">
        <v>1036</v>
      </c>
      <c r="B967" s="4" t="s">
        <v>988</v>
      </c>
      <c r="C967" s="4" t="s">
        <v>993</v>
      </c>
      <c r="D967" s="4">
        <v>3</v>
      </c>
      <c r="E967" s="4">
        <v>1208</v>
      </c>
      <c r="F967" s="4">
        <v>9267547</v>
      </c>
      <c r="G967" s="4">
        <v>3</v>
      </c>
      <c r="H967" s="4">
        <v>1</v>
      </c>
      <c r="I967" s="4" t="s">
        <v>18</v>
      </c>
      <c r="J967" s="4" t="s">
        <v>23</v>
      </c>
      <c r="K967" s="4" t="s">
        <v>36</v>
      </c>
      <c r="L967" s="9">
        <v>45062</v>
      </c>
      <c r="M967" s="9" t="str">
        <f>TEXT(Source_data[[#This Row],[Listing_Date]],"mmm-yy")</f>
        <v>May-23</v>
      </c>
      <c r="N967" s="4">
        <f t="shared" si="15"/>
        <v>7671.8104304635763</v>
      </c>
      <c r="O967" s="3" cm="1">
        <f t="array" ref="O967">_xlfn.IFS(AND(K967="Broker",J967="Resale"),F967*0.5,AND(K967="Owner",J967="Resale"),F967*0,AND(K967="Builder",J967="Resale"),F967*0.3,AND(J967="New",K967="Broker"),F967*0.1,AND(J967="New",K967="Owner"),F967*0,AND(J967="New",K967="Builder"),F967*0.5)</f>
        <v>0</v>
      </c>
    </row>
    <row r="968" spans="1:15" x14ac:dyDescent="0.3">
      <c r="A968" s="8" t="s">
        <v>1037</v>
      </c>
      <c r="B968" s="4" t="s">
        <v>988</v>
      </c>
      <c r="C968" s="4" t="s">
        <v>989</v>
      </c>
      <c r="D968" s="4">
        <v>3</v>
      </c>
      <c r="E968" s="4">
        <v>1004</v>
      </c>
      <c r="F968" s="4">
        <v>5596480</v>
      </c>
      <c r="G968" s="4">
        <v>3</v>
      </c>
      <c r="H968" s="4">
        <v>0</v>
      </c>
      <c r="I968" s="4" t="s">
        <v>27</v>
      </c>
      <c r="J968" s="4" t="s">
        <v>23</v>
      </c>
      <c r="K968" s="4" t="s">
        <v>24</v>
      </c>
      <c r="L968" s="9">
        <v>45333</v>
      </c>
      <c r="M968" s="9" t="str">
        <f>TEXT(Source_data[[#This Row],[Listing_Date]],"mmm-yy")</f>
        <v>Feb-24</v>
      </c>
      <c r="N968" s="4">
        <f t="shared" si="15"/>
        <v>5574.1832669322712</v>
      </c>
      <c r="O968" s="3" cm="1">
        <f t="array" ref="O968">_xlfn.IFS(AND(K968="Broker",J968="Resale"),F968*0.5,AND(K968="Owner",J968="Resale"),F968*0,AND(K968="Builder",J968="Resale"),F968*0.3,AND(J968="New",K968="Broker"),F968*0.1,AND(J968="New",K968="Owner"),F968*0,AND(J968="New",K968="Builder"),F968*0.5)</f>
        <v>1678944</v>
      </c>
    </row>
    <row r="969" spans="1:15" x14ac:dyDescent="0.3">
      <c r="A969" s="8" t="s">
        <v>1038</v>
      </c>
      <c r="B969" s="4" t="s">
        <v>988</v>
      </c>
      <c r="C969" s="4" t="s">
        <v>993</v>
      </c>
      <c r="D969" s="4">
        <v>3</v>
      </c>
      <c r="E969" s="4">
        <v>1198</v>
      </c>
      <c r="F969" s="4">
        <v>6719346</v>
      </c>
      <c r="G969" s="4">
        <v>2</v>
      </c>
      <c r="H969" s="4">
        <v>3</v>
      </c>
      <c r="I969" s="4" t="s">
        <v>18</v>
      </c>
      <c r="J969" s="4" t="s">
        <v>19</v>
      </c>
      <c r="K969" s="4" t="s">
        <v>20</v>
      </c>
      <c r="L969" s="9">
        <v>45836</v>
      </c>
      <c r="M969" s="9" t="str">
        <f>TEXT(Source_data[[#This Row],[Listing_Date]],"mmm-yy")</f>
        <v>Jun-25</v>
      </c>
      <c r="N969" s="4">
        <f t="shared" si="15"/>
        <v>5608.8030050083471</v>
      </c>
      <c r="O969" s="3" cm="1">
        <f t="array" ref="O969">_xlfn.IFS(AND(K969="Broker",J969="Resale"),F969*0.5,AND(K969="Owner",J969="Resale"),F969*0,AND(K969="Builder",J969="Resale"),F969*0.3,AND(J969="New",K969="Broker"),F969*0.1,AND(J969="New",K969="Owner"),F969*0,AND(J969="New",K969="Builder"),F969*0.5)</f>
        <v>671934.60000000009</v>
      </c>
    </row>
    <row r="970" spans="1:15" x14ac:dyDescent="0.3">
      <c r="A970" s="8" t="s">
        <v>1039</v>
      </c>
      <c r="B970" s="4" t="s">
        <v>988</v>
      </c>
      <c r="C970" s="4" t="s">
        <v>995</v>
      </c>
      <c r="D970" s="4">
        <v>3</v>
      </c>
      <c r="E970" s="4">
        <v>1296</v>
      </c>
      <c r="F970" s="4">
        <v>11483988</v>
      </c>
      <c r="G970" s="4">
        <v>2</v>
      </c>
      <c r="H970" s="4">
        <v>2</v>
      </c>
      <c r="I970" s="4" t="s">
        <v>27</v>
      </c>
      <c r="J970" s="4" t="s">
        <v>19</v>
      </c>
      <c r="K970" s="4" t="s">
        <v>20</v>
      </c>
      <c r="L970" s="9">
        <v>45811</v>
      </c>
      <c r="M970" s="9" t="str">
        <f>TEXT(Source_data[[#This Row],[Listing_Date]],"mmm-yy")</f>
        <v>Jun-25</v>
      </c>
      <c r="N970" s="4">
        <f t="shared" si="15"/>
        <v>8861.1018518518522</v>
      </c>
      <c r="O970" s="3" cm="1">
        <f t="array" ref="O970">_xlfn.IFS(AND(K970="Broker",J970="Resale"),F970*0.5,AND(K970="Owner",J970="Resale"),F970*0,AND(K970="Builder",J970="Resale"),F970*0.3,AND(J970="New",K970="Broker"),F970*0.1,AND(J970="New",K970="Owner"),F970*0,AND(J970="New",K970="Builder"),F970*0.5)</f>
        <v>1148398.8</v>
      </c>
    </row>
    <row r="971" spans="1:15" x14ac:dyDescent="0.3">
      <c r="A971" s="8" t="s">
        <v>1040</v>
      </c>
      <c r="B971" s="4" t="s">
        <v>988</v>
      </c>
      <c r="C971" s="4" t="s">
        <v>999</v>
      </c>
      <c r="D971" s="4">
        <v>1</v>
      </c>
      <c r="E971" s="4">
        <v>607</v>
      </c>
      <c r="F971" s="4">
        <v>3683109</v>
      </c>
      <c r="G971" s="4">
        <v>2</v>
      </c>
      <c r="H971" s="4">
        <v>2</v>
      </c>
      <c r="I971" s="4" t="s">
        <v>18</v>
      </c>
      <c r="J971" s="4" t="s">
        <v>23</v>
      </c>
      <c r="K971" s="4" t="s">
        <v>20</v>
      </c>
      <c r="L971" s="9">
        <v>45905</v>
      </c>
      <c r="M971" s="9" t="str">
        <f>TEXT(Source_data[[#This Row],[Listing_Date]],"mmm-yy")</f>
        <v>Sep-25</v>
      </c>
      <c r="N971" s="4">
        <f t="shared" si="15"/>
        <v>6067.7248764415153</v>
      </c>
      <c r="O971" s="3" cm="1">
        <f t="array" ref="O971">_xlfn.IFS(AND(K971="Broker",J971="Resale"),F971*0.5,AND(K971="Owner",J971="Resale"),F971*0,AND(K971="Builder",J971="Resale"),F971*0.3,AND(J971="New",K971="Broker"),F971*0.1,AND(J971="New",K971="Owner"),F971*0,AND(J971="New",K971="Builder"),F971*0.5)</f>
        <v>1841554.5</v>
      </c>
    </row>
    <row r="972" spans="1:15" x14ac:dyDescent="0.3">
      <c r="A972" s="8" t="s">
        <v>1041</v>
      </c>
      <c r="B972" s="4" t="s">
        <v>988</v>
      </c>
      <c r="C972" s="4" t="s">
        <v>989</v>
      </c>
      <c r="D972" s="4">
        <v>3</v>
      </c>
      <c r="E972" s="4">
        <v>1304</v>
      </c>
      <c r="F972" s="4">
        <v>10105271</v>
      </c>
      <c r="G972" s="4">
        <v>3</v>
      </c>
      <c r="H972" s="4">
        <v>1</v>
      </c>
      <c r="I972" s="4" t="s">
        <v>8</v>
      </c>
      <c r="J972" s="4" t="s">
        <v>19</v>
      </c>
      <c r="K972" s="4" t="s">
        <v>24</v>
      </c>
      <c r="L972" s="9">
        <v>45590</v>
      </c>
      <c r="M972" s="9" t="str">
        <f>TEXT(Source_data[[#This Row],[Listing_Date]],"mmm-yy")</f>
        <v>Oct-24</v>
      </c>
      <c r="N972" s="4">
        <f t="shared" si="15"/>
        <v>7749.4409509202451</v>
      </c>
      <c r="O972" s="3" cm="1">
        <f t="array" ref="O972">_xlfn.IFS(AND(K972="Broker",J972="Resale"),F972*0.5,AND(K972="Owner",J972="Resale"),F972*0,AND(K972="Builder",J972="Resale"),F972*0.3,AND(J972="New",K972="Broker"),F972*0.1,AND(J972="New",K972="Owner"),F972*0,AND(J972="New",K972="Builder"),F972*0.5)</f>
        <v>5052635.5</v>
      </c>
    </row>
    <row r="973" spans="1:15" x14ac:dyDescent="0.3">
      <c r="A973" s="8" t="s">
        <v>1042</v>
      </c>
      <c r="B973" s="4" t="s">
        <v>988</v>
      </c>
      <c r="C973" s="4" t="s">
        <v>991</v>
      </c>
      <c r="D973" s="4">
        <v>4</v>
      </c>
      <c r="E973" s="4">
        <v>1416</v>
      </c>
      <c r="F973" s="4">
        <v>10398228</v>
      </c>
      <c r="G973" s="4">
        <v>3</v>
      </c>
      <c r="H973" s="4">
        <v>2</v>
      </c>
      <c r="I973" s="4" t="s">
        <v>27</v>
      </c>
      <c r="J973" s="4" t="s">
        <v>19</v>
      </c>
      <c r="K973" s="4" t="s">
        <v>24</v>
      </c>
      <c r="L973" s="9">
        <v>45307</v>
      </c>
      <c r="M973" s="9" t="str">
        <f>TEXT(Source_data[[#This Row],[Listing_Date]],"mmm-yy")</f>
        <v>Jan-24</v>
      </c>
      <c r="N973" s="4">
        <f t="shared" si="15"/>
        <v>7343.3813559322034</v>
      </c>
      <c r="O973" s="3" cm="1">
        <f t="array" ref="O973">_xlfn.IFS(AND(K973="Broker",J973="Resale"),F973*0.5,AND(K973="Owner",J973="Resale"),F973*0,AND(K973="Builder",J973="Resale"),F973*0.3,AND(J973="New",K973="Broker"),F973*0.1,AND(J973="New",K973="Owner"),F973*0,AND(J973="New",K973="Builder"),F973*0.5)</f>
        <v>5199114</v>
      </c>
    </row>
    <row r="974" spans="1:15" x14ac:dyDescent="0.3">
      <c r="A974" s="8" t="s">
        <v>1043</v>
      </c>
      <c r="B974" s="4" t="s">
        <v>988</v>
      </c>
      <c r="C974" s="4" t="s">
        <v>991</v>
      </c>
      <c r="D974" s="4">
        <v>3</v>
      </c>
      <c r="E974" s="4">
        <v>1322</v>
      </c>
      <c r="F974" s="4">
        <v>9658502</v>
      </c>
      <c r="G974" s="4">
        <v>2</v>
      </c>
      <c r="H974" s="4">
        <v>3</v>
      </c>
      <c r="I974" s="4" t="s">
        <v>18</v>
      </c>
      <c r="J974" s="4" t="s">
        <v>19</v>
      </c>
      <c r="K974" s="4" t="s">
        <v>20</v>
      </c>
      <c r="L974" s="9">
        <v>45867</v>
      </c>
      <c r="M974" s="9" t="str">
        <f>TEXT(Source_data[[#This Row],[Listing_Date]],"mmm-yy")</f>
        <v>Jul-25</v>
      </c>
      <c r="N974" s="4">
        <f t="shared" si="15"/>
        <v>7305.9773071104391</v>
      </c>
      <c r="O974" s="3" cm="1">
        <f t="array" ref="O974">_xlfn.IFS(AND(K974="Broker",J974="Resale"),F974*0.5,AND(K974="Owner",J974="Resale"),F974*0,AND(K974="Builder",J974="Resale"),F974*0.3,AND(J974="New",K974="Broker"),F974*0.1,AND(J974="New",K974="Owner"),F974*0,AND(J974="New",K974="Builder"),F974*0.5)</f>
        <v>965850.20000000007</v>
      </c>
    </row>
    <row r="975" spans="1:15" x14ac:dyDescent="0.3">
      <c r="A975" s="8" t="s">
        <v>1044</v>
      </c>
      <c r="B975" s="4" t="s">
        <v>988</v>
      </c>
      <c r="C975" s="4" t="s">
        <v>995</v>
      </c>
      <c r="D975" s="4">
        <v>2</v>
      </c>
      <c r="E975" s="4">
        <v>1005</v>
      </c>
      <c r="F975" s="4">
        <v>7625478</v>
      </c>
      <c r="G975" s="4">
        <v>3</v>
      </c>
      <c r="H975" s="4">
        <v>3</v>
      </c>
      <c r="I975" s="4" t="s">
        <v>18</v>
      </c>
      <c r="J975" s="4" t="s">
        <v>23</v>
      </c>
      <c r="K975" s="4" t="s">
        <v>20</v>
      </c>
      <c r="L975" s="9">
        <v>44995</v>
      </c>
      <c r="M975" s="9" t="str">
        <f>TEXT(Source_data[[#This Row],[Listing_Date]],"mmm-yy")</f>
        <v>Mar-23</v>
      </c>
      <c r="N975" s="4">
        <f t="shared" si="15"/>
        <v>7587.5402985074625</v>
      </c>
      <c r="O975" s="3" cm="1">
        <f t="array" ref="O975">_xlfn.IFS(AND(K975="Broker",J975="Resale"),F975*0.5,AND(K975="Owner",J975="Resale"),F975*0,AND(K975="Builder",J975="Resale"),F975*0.3,AND(J975="New",K975="Broker"),F975*0.1,AND(J975="New",K975="Owner"),F975*0,AND(J975="New",K975="Builder"),F975*0.5)</f>
        <v>3812739</v>
      </c>
    </row>
    <row r="976" spans="1:15" x14ac:dyDescent="0.3">
      <c r="A976" s="8" t="s">
        <v>1045</v>
      </c>
      <c r="B976" s="4" t="s">
        <v>988</v>
      </c>
      <c r="C976" s="4" t="s">
        <v>1007</v>
      </c>
      <c r="D976" s="4">
        <v>3</v>
      </c>
      <c r="E976" s="4">
        <v>929</v>
      </c>
      <c r="F976" s="4">
        <v>8119850</v>
      </c>
      <c r="G976" s="4">
        <v>2</v>
      </c>
      <c r="H976" s="4">
        <v>2</v>
      </c>
      <c r="I976" s="4" t="s">
        <v>8</v>
      </c>
      <c r="J976" s="4" t="s">
        <v>23</v>
      </c>
      <c r="K976" s="4" t="s">
        <v>36</v>
      </c>
      <c r="L976" s="9">
        <v>45410</v>
      </c>
      <c r="M976" s="9" t="str">
        <f>TEXT(Source_data[[#This Row],[Listing_Date]],"mmm-yy")</f>
        <v>Apr-24</v>
      </c>
      <c r="N976" s="4">
        <f t="shared" si="15"/>
        <v>8740.4198062432715</v>
      </c>
      <c r="O976" s="3" cm="1">
        <f t="array" ref="O976">_xlfn.IFS(AND(K976="Broker",J976="Resale"),F976*0.5,AND(K976="Owner",J976="Resale"),F976*0,AND(K976="Builder",J976="Resale"),F976*0.3,AND(J976="New",K976="Broker"),F976*0.1,AND(J976="New",K976="Owner"),F976*0,AND(J976="New",K976="Builder"),F976*0.5)</f>
        <v>0</v>
      </c>
    </row>
    <row r="977" spans="1:15" x14ac:dyDescent="0.3">
      <c r="A977" s="8" t="s">
        <v>1046</v>
      </c>
      <c r="B977" s="4" t="s">
        <v>988</v>
      </c>
      <c r="C977" s="4" t="s">
        <v>991</v>
      </c>
      <c r="D977" s="4">
        <v>3</v>
      </c>
      <c r="E977" s="4">
        <v>988</v>
      </c>
      <c r="F977" s="4">
        <v>6650825</v>
      </c>
      <c r="G977" s="4">
        <v>3</v>
      </c>
      <c r="H977" s="4">
        <v>1</v>
      </c>
      <c r="I977" s="4" t="s">
        <v>8</v>
      </c>
      <c r="J977" s="4" t="s">
        <v>19</v>
      </c>
      <c r="K977" s="4" t="s">
        <v>24</v>
      </c>
      <c r="L977" s="9">
        <v>45543</v>
      </c>
      <c r="M977" s="9" t="str">
        <f>TEXT(Source_data[[#This Row],[Listing_Date]],"mmm-yy")</f>
        <v>Sep-24</v>
      </c>
      <c r="N977" s="4">
        <f t="shared" si="15"/>
        <v>6731.6042510121461</v>
      </c>
      <c r="O977" s="3" cm="1">
        <f t="array" ref="O977">_xlfn.IFS(AND(K977="Broker",J977="Resale"),F977*0.5,AND(K977="Owner",J977="Resale"),F977*0,AND(K977="Builder",J977="Resale"),F977*0.3,AND(J977="New",K977="Broker"),F977*0.1,AND(J977="New",K977="Owner"),F977*0,AND(J977="New",K977="Builder"),F977*0.5)</f>
        <v>3325412.5</v>
      </c>
    </row>
    <row r="978" spans="1:15" x14ac:dyDescent="0.3">
      <c r="A978" s="8" t="s">
        <v>1047</v>
      </c>
      <c r="B978" s="4" t="s">
        <v>988</v>
      </c>
      <c r="C978" s="4" t="s">
        <v>993</v>
      </c>
      <c r="D978" s="4">
        <v>2</v>
      </c>
      <c r="E978" s="4">
        <v>764</v>
      </c>
      <c r="F978" s="4">
        <v>5354109</v>
      </c>
      <c r="G978" s="4">
        <v>2</v>
      </c>
      <c r="H978" s="4">
        <v>1</v>
      </c>
      <c r="I978" s="4" t="s">
        <v>27</v>
      </c>
      <c r="J978" s="4" t="s">
        <v>19</v>
      </c>
      <c r="K978" s="4" t="s">
        <v>36</v>
      </c>
      <c r="L978" s="9">
        <v>44939</v>
      </c>
      <c r="M978" s="9" t="str">
        <f>TEXT(Source_data[[#This Row],[Listing_Date]],"mmm-yy")</f>
        <v>Jan-23</v>
      </c>
      <c r="N978" s="4">
        <f t="shared" si="15"/>
        <v>7007.9960732984291</v>
      </c>
      <c r="O978" s="3" cm="1">
        <f t="array" ref="O978">_xlfn.IFS(AND(K978="Broker",J978="Resale"),F978*0.5,AND(K978="Owner",J978="Resale"),F978*0,AND(K978="Builder",J978="Resale"),F978*0.3,AND(J978="New",K978="Broker"),F978*0.1,AND(J978="New",K978="Owner"),F978*0,AND(J978="New",K978="Builder"),F978*0.5)</f>
        <v>0</v>
      </c>
    </row>
    <row r="979" spans="1:15" x14ac:dyDescent="0.3">
      <c r="A979" s="8" t="s">
        <v>1048</v>
      </c>
      <c r="B979" s="4" t="s">
        <v>988</v>
      </c>
      <c r="C979" s="4" t="s">
        <v>991</v>
      </c>
      <c r="D979" s="4">
        <v>3</v>
      </c>
      <c r="E979" s="4">
        <v>988</v>
      </c>
      <c r="F979" s="4">
        <v>6650825</v>
      </c>
      <c r="G979" s="4">
        <v>3</v>
      </c>
      <c r="H979" s="4">
        <v>1</v>
      </c>
      <c r="I979" s="4" t="s">
        <v>8</v>
      </c>
      <c r="J979" s="4" t="s">
        <v>19</v>
      </c>
      <c r="K979" s="4" t="s">
        <v>24</v>
      </c>
      <c r="L979" s="9">
        <v>45543</v>
      </c>
      <c r="M979" s="9" t="str">
        <f>TEXT(Source_data[[#This Row],[Listing_Date]],"mmm-yy")</f>
        <v>Sep-24</v>
      </c>
      <c r="N979" s="4">
        <f t="shared" si="15"/>
        <v>6731.6042510121461</v>
      </c>
      <c r="O979" s="3" cm="1">
        <f t="array" ref="O979">_xlfn.IFS(AND(K979="Broker",J979="Resale"),F979*0.5,AND(K979="Owner",J979="Resale"),F979*0,AND(K979="Builder",J979="Resale"),F979*0.3,AND(J979="New",K979="Broker"),F979*0.1,AND(J979="New",K979="Owner"),F979*0,AND(J979="New",K979="Builder"),F979*0.5)</f>
        <v>3325412.5</v>
      </c>
    </row>
    <row r="980" spans="1:15" x14ac:dyDescent="0.3">
      <c r="A980" s="8" t="s">
        <v>1049</v>
      </c>
      <c r="B980" s="4" t="s">
        <v>988</v>
      </c>
      <c r="C980" s="4" t="s">
        <v>991</v>
      </c>
      <c r="D980" s="4">
        <v>1</v>
      </c>
      <c r="E980" s="4">
        <v>956</v>
      </c>
      <c r="F980" s="4">
        <v>10166811</v>
      </c>
      <c r="G980" s="4">
        <v>1</v>
      </c>
      <c r="H980" s="4">
        <v>3</v>
      </c>
      <c r="I980" s="4" t="s">
        <v>27</v>
      </c>
      <c r="J980" s="4" t="s">
        <v>19</v>
      </c>
      <c r="K980" s="4" t="s">
        <v>36</v>
      </c>
      <c r="L980" s="9">
        <v>45082</v>
      </c>
      <c r="M980" s="9" t="str">
        <f>TEXT(Source_data[[#This Row],[Listing_Date]],"mmm-yy")</f>
        <v>Jun-23</v>
      </c>
      <c r="N980" s="4">
        <f t="shared" si="15"/>
        <v>10634.739539748954</v>
      </c>
      <c r="O980" s="3" cm="1">
        <f t="array" ref="O980">_xlfn.IFS(AND(K980="Broker",J980="Resale"),F980*0.5,AND(K980="Owner",J980="Resale"),F980*0,AND(K980="Builder",J980="Resale"),F980*0.3,AND(J980="New",K980="Broker"),F980*0.1,AND(J980="New",K980="Owner"),F980*0,AND(J980="New",K980="Builder"),F980*0.5)</f>
        <v>0</v>
      </c>
    </row>
    <row r="981" spans="1:15" x14ac:dyDescent="0.3">
      <c r="A981" s="8" t="s">
        <v>1050</v>
      </c>
      <c r="B981" s="4" t="s">
        <v>988</v>
      </c>
      <c r="C981" s="4" t="s">
        <v>989</v>
      </c>
      <c r="D981" s="4">
        <v>5</v>
      </c>
      <c r="E981" s="4">
        <v>3619</v>
      </c>
      <c r="F981" s="4">
        <v>27835705</v>
      </c>
      <c r="G981" s="4">
        <v>2</v>
      </c>
      <c r="H981" s="4">
        <v>1</v>
      </c>
      <c r="I981" s="4" t="s">
        <v>27</v>
      </c>
      <c r="J981" s="4" t="s">
        <v>23</v>
      </c>
      <c r="K981" s="4" t="s">
        <v>20</v>
      </c>
      <c r="L981" s="9">
        <v>45159</v>
      </c>
      <c r="M981" s="9" t="str">
        <f>TEXT(Source_data[[#This Row],[Listing_Date]],"mmm-yy")</f>
        <v>Aug-23</v>
      </c>
      <c r="N981" s="4">
        <f t="shared" si="15"/>
        <v>7691.5460071843054</v>
      </c>
      <c r="O981" s="3" cm="1">
        <f t="array" ref="O981">_xlfn.IFS(AND(K981="Broker",J981="Resale"),F981*0.5,AND(K981="Owner",J981="Resale"),F981*0,AND(K981="Builder",J981="Resale"),F981*0.3,AND(J981="New",K981="Broker"),F981*0.1,AND(J981="New",K981="Owner"),F981*0,AND(J981="New",K981="Builder"),F981*0.5)</f>
        <v>13917852.5</v>
      </c>
    </row>
    <row r="982" spans="1:15" x14ac:dyDescent="0.3">
      <c r="A982" s="8" t="s">
        <v>1051</v>
      </c>
      <c r="B982" s="4" t="s">
        <v>988</v>
      </c>
      <c r="C982" s="4" t="s">
        <v>999</v>
      </c>
      <c r="D982" s="4">
        <v>2</v>
      </c>
      <c r="E982" s="4">
        <v>953</v>
      </c>
      <c r="F982" s="4">
        <v>6399771</v>
      </c>
      <c r="G982" s="4">
        <v>1</v>
      </c>
      <c r="H982" s="4">
        <v>2</v>
      </c>
      <c r="I982" s="4" t="s">
        <v>18</v>
      </c>
      <c r="J982" s="4" t="s">
        <v>23</v>
      </c>
      <c r="K982" s="4" t="s">
        <v>20</v>
      </c>
      <c r="L982" s="9">
        <v>45383</v>
      </c>
      <c r="M982" s="9" t="str">
        <f>TEXT(Source_data[[#This Row],[Listing_Date]],"mmm-yy")</f>
        <v>Apr-24</v>
      </c>
      <c r="N982" s="4">
        <f t="shared" si="15"/>
        <v>6715.3945435466949</v>
      </c>
      <c r="O982" s="3" cm="1">
        <f t="array" ref="O982">_xlfn.IFS(AND(K982="Broker",J982="Resale"),F982*0.5,AND(K982="Owner",J982="Resale"),F982*0,AND(K982="Builder",J982="Resale"),F982*0.3,AND(J982="New",K982="Broker"),F982*0.1,AND(J982="New",K982="Owner"),F982*0,AND(J982="New",K982="Builder"),F982*0.5)</f>
        <v>3199885.5</v>
      </c>
    </row>
    <row r="983" spans="1:15" x14ac:dyDescent="0.3">
      <c r="A983" s="8" t="s">
        <v>1052</v>
      </c>
      <c r="B983" s="4" t="s">
        <v>988</v>
      </c>
      <c r="C983" s="4" t="s">
        <v>993</v>
      </c>
      <c r="D983" s="4">
        <v>3</v>
      </c>
      <c r="E983" s="4">
        <v>1160</v>
      </c>
      <c r="F983" s="4">
        <v>8946495</v>
      </c>
      <c r="G983" s="4">
        <v>2</v>
      </c>
      <c r="H983" s="4">
        <v>1</v>
      </c>
      <c r="I983" s="4" t="s">
        <v>8</v>
      </c>
      <c r="J983" s="4" t="s">
        <v>19</v>
      </c>
      <c r="K983" s="4" t="s">
        <v>24</v>
      </c>
      <c r="L983" s="9">
        <v>45177</v>
      </c>
      <c r="M983" s="9" t="str">
        <f>TEXT(Source_data[[#This Row],[Listing_Date]],"mmm-yy")</f>
        <v>Sep-23</v>
      </c>
      <c r="N983" s="4">
        <f t="shared" si="15"/>
        <v>7712.4956896551721</v>
      </c>
      <c r="O983" s="3" cm="1">
        <f t="array" ref="O983">_xlfn.IFS(AND(K983="Broker",J983="Resale"),F983*0.5,AND(K983="Owner",J983="Resale"),F983*0,AND(K983="Builder",J983="Resale"),F983*0.3,AND(J983="New",K983="Broker"),F983*0.1,AND(J983="New",K983="Owner"),F983*0,AND(J983="New",K983="Builder"),F983*0.5)</f>
        <v>4473247.5</v>
      </c>
    </row>
    <row r="984" spans="1:15" x14ac:dyDescent="0.3">
      <c r="A984" s="8" t="s">
        <v>1053</v>
      </c>
      <c r="B984" s="4" t="s">
        <v>988</v>
      </c>
      <c r="C984" s="4" t="s">
        <v>989</v>
      </c>
      <c r="D984" s="4">
        <v>3</v>
      </c>
      <c r="E984" s="4">
        <v>1345</v>
      </c>
      <c r="F984" s="4">
        <v>9438085</v>
      </c>
      <c r="G984" s="4">
        <v>2</v>
      </c>
      <c r="H984" s="4">
        <v>1</v>
      </c>
      <c r="I984" s="4" t="s">
        <v>8</v>
      </c>
      <c r="J984" s="4" t="s">
        <v>19</v>
      </c>
      <c r="K984" s="4" t="s">
        <v>24</v>
      </c>
      <c r="L984" s="9">
        <v>45806</v>
      </c>
      <c r="M984" s="9" t="str">
        <f>TEXT(Source_data[[#This Row],[Listing_Date]],"mmm-yy")</f>
        <v>May-25</v>
      </c>
      <c r="N984" s="4">
        <f t="shared" si="15"/>
        <v>7017.1635687732341</v>
      </c>
      <c r="O984" s="3" cm="1">
        <f t="array" ref="O984">_xlfn.IFS(AND(K984="Broker",J984="Resale"),F984*0.5,AND(K984="Owner",J984="Resale"),F984*0,AND(K984="Builder",J984="Resale"),F984*0.3,AND(J984="New",K984="Broker"),F984*0.1,AND(J984="New",K984="Owner"),F984*0,AND(J984="New",K984="Builder"),F984*0.5)</f>
        <v>4719042.5</v>
      </c>
    </row>
    <row r="985" spans="1:15" x14ac:dyDescent="0.3">
      <c r="A985" s="8" t="s">
        <v>1054</v>
      </c>
      <c r="B985" s="4" t="s">
        <v>988</v>
      </c>
      <c r="C985" s="4" t="s">
        <v>995</v>
      </c>
      <c r="D985" s="4">
        <v>2</v>
      </c>
      <c r="E985" s="4">
        <v>663</v>
      </c>
      <c r="F985" s="4">
        <v>4703526</v>
      </c>
      <c r="G985" s="4">
        <v>2</v>
      </c>
      <c r="H985" s="4">
        <v>1</v>
      </c>
      <c r="I985" s="4" t="s">
        <v>8</v>
      </c>
      <c r="J985" s="4" t="s">
        <v>23</v>
      </c>
      <c r="K985" s="4" t="s">
        <v>36</v>
      </c>
      <c r="L985" s="9">
        <v>45815</v>
      </c>
      <c r="M985" s="9" t="str">
        <f>TEXT(Source_data[[#This Row],[Listing_Date]],"mmm-yy")</f>
        <v>Jun-25</v>
      </c>
      <c r="N985" s="4">
        <f t="shared" si="15"/>
        <v>7094.3076923076924</v>
      </c>
      <c r="O985" s="3" cm="1">
        <f t="array" ref="O985">_xlfn.IFS(AND(K985="Broker",J985="Resale"),F985*0.5,AND(K985="Owner",J985="Resale"),F985*0,AND(K985="Builder",J985="Resale"),F985*0.3,AND(J985="New",K985="Broker"),F985*0.1,AND(J985="New",K985="Owner"),F985*0,AND(J985="New",K985="Builder"),F985*0.5)</f>
        <v>0</v>
      </c>
    </row>
    <row r="986" spans="1:15" x14ac:dyDescent="0.3">
      <c r="A986" s="8" t="s">
        <v>1055</v>
      </c>
      <c r="B986" s="4" t="s">
        <v>988</v>
      </c>
      <c r="C986" s="4" t="s">
        <v>1007</v>
      </c>
      <c r="D986" s="4">
        <v>3</v>
      </c>
      <c r="E986" s="4">
        <v>1142</v>
      </c>
      <c r="F986" s="4">
        <v>9149854</v>
      </c>
      <c r="G986" s="4">
        <v>3</v>
      </c>
      <c r="H986" s="4">
        <v>0</v>
      </c>
      <c r="I986" s="4" t="s">
        <v>18</v>
      </c>
      <c r="J986" s="4" t="s">
        <v>19</v>
      </c>
      <c r="K986" s="4" t="s">
        <v>20</v>
      </c>
      <c r="L986" s="9">
        <v>45226</v>
      </c>
      <c r="M986" s="9" t="str">
        <f>TEXT(Source_data[[#This Row],[Listing_Date]],"mmm-yy")</f>
        <v>Oct-23</v>
      </c>
      <c r="N986" s="4">
        <f t="shared" si="15"/>
        <v>8012.1313485113833</v>
      </c>
      <c r="O986" s="3" cm="1">
        <f t="array" ref="O986">_xlfn.IFS(AND(K986="Broker",J986="Resale"),F986*0.5,AND(K986="Owner",J986="Resale"),F986*0,AND(K986="Builder",J986="Resale"),F986*0.3,AND(J986="New",K986="Broker"),F986*0.1,AND(J986="New",K986="Owner"),F986*0,AND(J986="New",K986="Builder"),F986*0.5)</f>
        <v>914985.4</v>
      </c>
    </row>
    <row r="987" spans="1:15" x14ac:dyDescent="0.3">
      <c r="A987" s="8" t="s">
        <v>1056</v>
      </c>
      <c r="B987" s="4" t="s">
        <v>988</v>
      </c>
      <c r="C987" s="4" t="s">
        <v>999</v>
      </c>
      <c r="D987" s="4">
        <v>2</v>
      </c>
      <c r="E987" s="4">
        <v>448</v>
      </c>
      <c r="F987" s="4">
        <v>3683896</v>
      </c>
      <c r="G987" s="4">
        <v>2</v>
      </c>
      <c r="H987" s="4">
        <v>2</v>
      </c>
      <c r="I987" s="4" t="s">
        <v>18</v>
      </c>
      <c r="J987" s="4" t="s">
        <v>19</v>
      </c>
      <c r="K987" s="4" t="s">
        <v>20</v>
      </c>
      <c r="L987" s="9">
        <v>45243</v>
      </c>
      <c r="M987" s="9" t="str">
        <f>TEXT(Source_data[[#This Row],[Listing_Date]],"mmm-yy")</f>
        <v>Nov-23</v>
      </c>
      <c r="N987" s="4">
        <f t="shared" si="15"/>
        <v>8222.9821428571431</v>
      </c>
      <c r="O987" s="3" cm="1">
        <f t="array" ref="O987">_xlfn.IFS(AND(K987="Broker",J987="Resale"),F987*0.5,AND(K987="Owner",J987="Resale"),F987*0,AND(K987="Builder",J987="Resale"),F987*0.3,AND(J987="New",K987="Broker"),F987*0.1,AND(J987="New",K987="Owner"),F987*0,AND(J987="New",K987="Builder"),F987*0.5)</f>
        <v>368389.60000000003</v>
      </c>
    </row>
    <row r="988" spans="1:15" x14ac:dyDescent="0.3">
      <c r="A988" s="8" t="s">
        <v>1057</v>
      </c>
      <c r="B988" s="4" t="s">
        <v>988</v>
      </c>
      <c r="C988" s="4" t="s">
        <v>993</v>
      </c>
      <c r="D988" s="4">
        <v>2</v>
      </c>
      <c r="E988" s="4">
        <v>1204</v>
      </c>
      <c r="F988" s="4">
        <v>12066956</v>
      </c>
      <c r="G988" s="4">
        <v>2</v>
      </c>
      <c r="H988" s="4">
        <v>2</v>
      </c>
      <c r="I988" s="4" t="s">
        <v>8</v>
      </c>
      <c r="J988" s="4" t="s">
        <v>19</v>
      </c>
      <c r="K988" s="4" t="s">
        <v>24</v>
      </c>
      <c r="L988" s="9">
        <v>45674</v>
      </c>
      <c r="M988" s="9" t="str">
        <f>TEXT(Source_data[[#This Row],[Listing_Date]],"mmm-yy")</f>
        <v>Jan-25</v>
      </c>
      <c r="N988" s="4">
        <f t="shared" si="15"/>
        <v>10022.388704318937</v>
      </c>
      <c r="O988" s="3" cm="1">
        <f t="array" ref="O988">_xlfn.IFS(AND(K988="Broker",J988="Resale"),F988*0.5,AND(K988="Owner",J988="Resale"),F988*0,AND(K988="Builder",J988="Resale"),F988*0.3,AND(J988="New",K988="Broker"),F988*0.1,AND(J988="New",K988="Owner"),F988*0,AND(J988="New",K988="Builder"),F988*0.5)</f>
        <v>6033478</v>
      </c>
    </row>
    <row r="989" spans="1:15" x14ac:dyDescent="0.3">
      <c r="A989" s="8" t="s">
        <v>1058</v>
      </c>
      <c r="B989" s="4" t="s">
        <v>988</v>
      </c>
      <c r="C989" s="4" t="s">
        <v>995</v>
      </c>
      <c r="D989" s="4">
        <v>2</v>
      </c>
      <c r="E989" s="4">
        <v>825</v>
      </c>
      <c r="F989" s="4">
        <v>5445908</v>
      </c>
      <c r="G989" s="4">
        <v>2</v>
      </c>
      <c r="H989" s="4">
        <v>2</v>
      </c>
      <c r="I989" s="4" t="s">
        <v>18</v>
      </c>
      <c r="J989" s="4" t="s">
        <v>19</v>
      </c>
      <c r="K989" s="4" t="s">
        <v>20</v>
      </c>
      <c r="L989" s="9">
        <v>45550</v>
      </c>
      <c r="M989" s="9" t="str">
        <f>TEXT(Source_data[[#This Row],[Listing_Date]],"mmm-yy")</f>
        <v>Sep-24</v>
      </c>
      <c r="N989" s="4">
        <f t="shared" si="15"/>
        <v>6601.100606060606</v>
      </c>
      <c r="O989" s="3" cm="1">
        <f t="array" ref="O989">_xlfn.IFS(AND(K989="Broker",J989="Resale"),F989*0.5,AND(K989="Owner",J989="Resale"),F989*0,AND(K989="Builder",J989="Resale"),F989*0.3,AND(J989="New",K989="Broker"),F989*0.1,AND(J989="New",K989="Owner"),F989*0,AND(J989="New",K989="Builder"),F989*0.5)</f>
        <v>544590.80000000005</v>
      </c>
    </row>
    <row r="990" spans="1:15" x14ac:dyDescent="0.3">
      <c r="A990" s="8" t="s">
        <v>1059</v>
      </c>
      <c r="B990" s="4" t="s">
        <v>988</v>
      </c>
      <c r="C990" s="4" t="s">
        <v>991</v>
      </c>
      <c r="D990" s="4">
        <v>3</v>
      </c>
      <c r="E990" s="4">
        <v>1443</v>
      </c>
      <c r="F990" s="4">
        <v>11935510</v>
      </c>
      <c r="G990" s="4">
        <v>3</v>
      </c>
      <c r="H990" s="4">
        <v>2</v>
      </c>
      <c r="I990" s="4" t="s">
        <v>8</v>
      </c>
      <c r="J990" s="4" t="s">
        <v>23</v>
      </c>
      <c r="K990" s="4" t="s">
        <v>36</v>
      </c>
      <c r="L990" s="9">
        <v>45384</v>
      </c>
      <c r="M990" s="9" t="str">
        <f>TEXT(Source_data[[#This Row],[Listing_Date]],"mmm-yy")</f>
        <v>Apr-24</v>
      </c>
      <c r="N990" s="4">
        <f t="shared" si="15"/>
        <v>8271.3167013167022</v>
      </c>
      <c r="O990" s="3" cm="1">
        <f t="array" ref="O990">_xlfn.IFS(AND(K990="Broker",J990="Resale"),F990*0.5,AND(K990="Owner",J990="Resale"),F990*0,AND(K990="Builder",J990="Resale"),F990*0.3,AND(J990="New",K990="Broker"),F990*0.1,AND(J990="New",K990="Owner"),F990*0,AND(J990="New",K990="Builder"),F990*0.5)</f>
        <v>0</v>
      </c>
    </row>
    <row r="991" spans="1:15" x14ac:dyDescent="0.3">
      <c r="A991" s="8" t="s">
        <v>1060</v>
      </c>
      <c r="B991" s="4" t="s">
        <v>988</v>
      </c>
      <c r="C991" s="4" t="s">
        <v>1007</v>
      </c>
      <c r="D991" s="4">
        <v>4</v>
      </c>
      <c r="E991" s="4">
        <v>1919</v>
      </c>
      <c r="F991" s="4">
        <v>13139642</v>
      </c>
      <c r="G991" s="4">
        <v>4</v>
      </c>
      <c r="H991" s="4">
        <v>2</v>
      </c>
      <c r="I991" s="4" t="s">
        <v>27</v>
      </c>
      <c r="J991" s="4" t="s">
        <v>19</v>
      </c>
      <c r="K991" s="4" t="s">
        <v>36</v>
      </c>
      <c r="L991" s="9">
        <v>45374</v>
      </c>
      <c r="M991" s="9" t="str">
        <f>TEXT(Source_data[[#This Row],[Listing_Date]],"mmm-yy")</f>
        <v>Mar-24</v>
      </c>
      <c r="N991" s="4">
        <f t="shared" si="15"/>
        <v>6847.1297550807712</v>
      </c>
      <c r="O991" s="3" cm="1">
        <f t="array" ref="O991">_xlfn.IFS(AND(K991="Broker",J991="Resale"),F991*0.5,AND(K991="Owner",J991="Resale"),F991*0,AND(K991="Builder",J991="Resale"),F991*0.3,AND(J991="New",K991="Broker"),F991*0.1,AND(J991="New",K991="Owner"),F991*0,AND(J991="New",K991="Builder"),F991*0.5)</f>
        <v>0</v>
      </c>
    </row>
    <row r="992" spans="1:15" x14ac:dyDescent="0.3">
      <c r="A992" s="8" t="s">
        <v>1061</v>
      </c>
      <c r="B992" s="4" t="s">
        <v>988</v>
      </c>
      <c r="C992" s="4" t="s">
        <v>1007</v>
      </c>
      <c r="D992" s="4">
        <v>3</v>
      </c>
      <c r="E992" s="4">
        <v>1204</v>
      </c>
      <c r="F992" s="4">
        <v>8148184</v>
      </c>
      <c r="G992" s="4">
        <v>2</v>
      </c>
      <c r="H992" s="4">
        <v>2</v>
      </c>
      <c r="I992" s="4" t="s">
        <v>8</v>
      </c>
      <c r="J992" s="4" t="s">
        <v>19</v>
      </c>
      <c r="K992" s="4" t="s">
        <v>24</v>
      </c>
      <c r="L992" s="9">
        <v>45747</v>
      </c>
      <c r="M992" s="9" t="str">
        <f>TEXT(Source_data[[#This Row],[Listing_Date]],"mmm-yy")</f>
        <v>Mar-25</v>
      </c>
      <c r="N992" s="4">
        <f t="shared" si="15"/>
        <v>6767.5946843853817</v>
      </c>
      <c r="O992" s="3" cm="1">
        <f t="array" ref="O992">_xlfn.IFS(AND(K992="Broker",J992="Resale"),F992*0.5,AND(K992="Owner",J992="Resale"),F992*0,AND(K992="Builder",J992="Resale"),F992*0.3,AND(J992="New",K992="Broker"),F992*0.1,AND(J992="New",K992="Owner"),F992*0,AND(J992="New",K992="Builder"),F992*0.5)</f>
        <v>4074092</v>
      </c>
    </row>
    <row r="993" spans="1:15" x14ac:dyDescent="0.3">
      <c r="A993" s="8" t="s">
        <v>1062</v>
      </c>
      <c r="B993" s="4" t="s">
        <v>988</v>
      </c>
      <c r="C993" s="4" t="s">
        <v>989</v>
      </c>
      <c r="D993" s="4">
        <v>3</v>
      </c>
      <c r="E993" s="4">
        <v>936</v>
      </c>
      <c r="F993" s="4">
        <v>7360946</v>
      </c>
      <c r="G993" s="4">
        <v>3</v>
      </c>
      <c r="H993" s="4">
        <v>0</v>
      </c>
      <c r="I993" s="4" t="s">
        <v>27</v>
      </c>
      <c r="J993" s="4" t="s">
        <v>19</v>
      </c>
      <c r="K993" s="4" t="s">
        <v>20</v>
      </c>
      <c r="L993" s="9">
        <v>45839</v>
      </c>
      <c r="M993" s="9" t="str">
        <f>TEXT(Source_data[[#This Row],[Listing_Date]],"mmm-yy")</f>
        <v>Jul-25</v>
      </c>
      <c r="N993" s="4">
        <f t="shared" si="15"/>
        <v>7864.2585470085469</v>
      </c>
      <c r="O993" s="3" cm="1">
        <f t="array" ref="O993">_xlfn.IFS(AND(K993="Broker",J993="Resale"),F993*0.5,AND(K993="Owner",J993="Resale"),F993*0,AND(K993="Builder",J993="Resale"),F993*0.3,AND(J993="New",K993="Broker"),F993*0.1,AND(J993="New",K993="Owner"),F993*0,AND(J993="New",K993="Builder"),F993*0.5)</f>
        <v>736094.60000000009</v>
      </c>
    </row>
    <row r="994" spans="1:15" x14ac:dyDescent="0.3">
      <c r="A994" s="8" t="s">
        <v>1063</v>
      </c>
      <c r="B994" s="4" t="s">
        <v>988</v>
      </c>
      <c r="C994" s="4" t="s">
        <v>995</v>
      </c>
      <c r="D994" s="4">
        <v>3</v>
      </c>
      <c r="E994" s="4">
        <v>904</v>
      </c>
      <c r="F994" s="4">
        <v>7122180</v>
      </c>
      <c r="G994" s="4">
        <v>4</v>
      </c>
      <c r="H994" s="4">
        <v>1</v>
      </c>
      <c r="I994" s="4" t="s">
        <v>8</v>
      </c>
      <c r="J994" s="4" t="s">
        <v>23</v>
      </c>
      <c r="K994" s="4" t="s">
        <v>24</v>
      </c>
      <c r="L994" s="9">
        <v>45265</v>
      </c>
      <c r="M994" s="9" t="str">
        <f>TEXT(Source_data[[#This Row],[Listing_Date]],"mmm-yy")</f>
        <v>Dec-23</v>
      </c>
      <c r="N994" s="4">
        <f t="shared" si="15"/>
        <v>7878.5176991150438</v>
      </c>
      <c r="O994" s="3" cm="1">
        <f t="array" ref="O994">_xlfn.IFS(AND(K994="Broker",J994="Resale"),F994*0.5,AND(K994="Owner",J994="Resale"),F994*0,AND(K994="Builder",J994="Resale"),F994*0.3,AND(J994="New",K994="Broker"),F994*0.1,AND(J994="New",K994="Owner"),F994*0,AND(J994="New",K994="Builder"),F994*0.5)</f>
        <v>2136654</v>
      </c>
    </row>
    <row r="995" spans="1:15" x14ac:dyDescent="0.3">
      <c r="A995" s="8" t="s">
        <v>1064</v>
      </c>
      <c r="B995" s="4" t="s">
        <v>988</v>
      </c>
      <c r="C995" s="4" t="s">
        <v>993</v>
      </c>
      <c r="D995" s="4">
        <v>1</v>
      </c>
      <c r="E995" s="4">
        <v>688</v>
      </c>
      <c r="F995" s="4">
        <v>5150556</v>
      </c>
      <c r="G995" s="4">
        <v>1</v>
      </c>
      <c r="H995" s="4">
        <v>2</v>
      </c>
      <c r="I995" s="4" t="s">
        <v>8</v>
      </c>
      <c r="J995" s="4" t="s">
        <v>19</v>
      </c>
      <c r="K995" s="4" t="s">
        <v>24</v>
      </c>
      <c r="L995" s="9">
        <v>45757</v>
      </c>
      <c r="M995" s="9" t="str">
        <f>TEXT(Source_data[[#This Row],[Listing_Date]],"mmm-yy")</f>
        <v>Apr-25</v>
      </c>
      <c r="N995" s="4">
        <f t="shared" si="15"/>
        <v>7486.2732558139533</v>
      </c>
      <c r="O995" s="3" cm="1">
        <f t="array" ref="O995">_xlfn.IFS(AND(K995="Broker",J995="Resale"),F995*0.5,AND(K995="Owner",J995="Resale"),F995*0,AND(K995="Builder",J995="Resale"),F995*0.3,AND(J995="New",K995="Broker"),F995*0.1,AND(J995="New",K995="Owner"),F995*0,AND(J995="New",K995="Builder"),F995*0.5)</f>
        <v>2575278</v>
      </c>
    </row>
    <row r="996" spans="1:15" x14ac:dyDescent="0.3">
      <c r="A996" s="8" t="s">
        <v>1065</v>
      </c>
      <c r="B996" s="4" t="s">
        <v>988</v>
      </c>
      <c r="C996" s="4" t="s">
        <v>989</v>
      </c>
      <c r="D996" s="4">
        <v>1</v>
      </c>
      <c r="E996" s="4">
        <v>682</v>
      </c>
      <c r="F996" s="4">
        <v>4266580</v>
      </c>
      <c r="G996" s="4">
        <v>1</v>
      </c>
      <c r="H996" s="4">
        <v>2</v>
      </c>
      <c r="I996" s="4" t="s">
        <v>18</v>
      </c>
      <c r="J996" s="4" t="s">
        <v>23</v>
      </c>
      <c r="K996" s="4" t="s">
        <v>36</v>
      </c>
      <c r="L996" s="9">
        <v>45278</v>
      </c>
      <c r="M996" s="9" t="str">
        <f>TEXT(Source_data[[#This Row],[Listing_Date]],"mmm-yy")</f>
        <v>Dec-23</v>
      </c>
      <c r="N996" s="4">
        <f t="shared" si="15"/>
        <v>6255.9824046920821</v>
      </c>
      <c r="O996" s="3" cm="1">
        <f t="array" ref="O996">_xlfn.IFS(AND(K996="Broker",J996="Resale"),F996*0.5,AND(K996="Owner",J996="Resale"),F996*0,AND(K996="Builder",J996="Resale"),F996*0.3,AND(J996="New",K996="Broker"),F996*0.1,AND(J996="New",K996="Owner"),F996*0,AND(J996="New",K996="Builder"),F996*0.5)</f>
        <v>0</v>
      </c>
    </row>
    <row r="997" spans="1:15" x14ac:dyDescent="0.3">
      <c r="A997" s="8" t="s">
        <v>1066</v>
      </c>
      <c r="B997" s="4" t="s">
        <v>988</v>
      </c>
      <c r="C997" s="4" t="s">
        <v>991</v>
      </c>
      <c r="D997" s="4">
        <v>1</v>
      </c>
      <c r="E997" s="4">
        <v>1204</v>
      </c>
      <c r="F997" s="4">
        <v>3789551</v>
      </c>
      <c r="G997" s="4">
        <v>2</v>
      </c>
      <c r="H997" s="4">
        <v>2</v>
      </c>
      <c r="I997" s="4" t="s">
        <v>8</v>
      </c>
      <c r="J997" s="4" t="s">
        <v>23</v>
      </c>
      <c r="K997" s="4" t="s">
        <v>24</v>
      </c>
      <c r="L997" s="9">
        <v>45582</v>
      </c>
      <c r="M997" s="9" t="str">
        <f>TEXT(Source_data[[#This Row],[Listing_Date]],"mmm-yy")</f>
        <v>Oct-24</v>
      </c>
      <c r="N997" s="4">
        <f t="shared" si="15"/>
        <v>3147.4676079734218</v>
      </c>
      <c r="O997" s="3" cm="1">
        <f t="array" ref="O997">_xlfn.IFS(AND(K997="Broker",J997="Resale"),F997*0.5,AND(K997="Owner",J997="Resale"),F997*0,AND(K997="Builder",J997="Resale"),F997*0.3,AND(J997="New",K997="Broker"),F997*0.1,AND(J997="New",K997="Owner"),F997*0,AND(J997="New",K997="Builder"),F997*0.5)</f>
        <v>1136865.3</v>
      </c>
    </row>
    <row r="998" spans="1:15" x14ac:dyDescent="0.3">
      <c r="A998" s="8" t="s">
        <v>1067</v>
      </c>
      <c r="B998" s="4" t="s">
        <v>988</v>
      </c>
      <c r="C998" s="4" t="s">
        <v>995</v>
      </c>
      <c r="D998" s="4">
        <v>3</v>
      </c>
      <c r="E998" s="4">
        <v>1385</v>
      </c>
      <c r="F998" s="4">
        <v>11777640</v>
      </c>
      <c r="G998" s="4">
        <v>3</v>
      </c>
      <c r="H998" s="4">
        <v>1</v>
      </c>
      <c r="I998" s="4" t="s">
        <v>8</v>
      </c>
      <c r="J998" s="4" t="s">
        <v>19</v>
      </c>
      <c r="K998" s="4" t="s">
        <v>20</v>
      </c>
      <c r="L998" s="9">
        <v>45474</v>
      </c>
      <c r="M998" s="9" t="str">
        <f>TEXT(Source_data[[#This Row],[Listing_Date]],"mmm-yy")</f>
        <v>Jul-24</v>
      </c>
      <c r="N998" s="4">
        <f t="shared" si="15"/>
        <v>8503.7111913357403</v>
      </c>
      <c r="O998" s="3" cm="1">
        <f t="array" ref="O998">_xlfn.IFS(AND(K998="Broker",J998="Resale"),F998*0.5,AND(K998="Owner",J998="Resale"),F998*0,AND(K998="Builder",J998="Resale"),F998*0.3,AND(J998="New",K998="Broker"),F998*0.1,AND(J998="New",K998="Owner"),F998*0,AND(J998="New",K998="Builder"),F998*0.5)</f>
        <v>1177764</v>
      </c>
    </row>
    <row r="999" spans="1:15" x14ac:dyDescent="0.3">
      <c r="A999" s="8" t="s">
        <v>1068</v>
      </c>
      <c r="B999" s="4" t="s">
        <v>988</v>
      </c>
      <c r="C999" s="4" t="s">
        <v>1007</v>
      </c>
      <c r="D999" s="4">
        <v>2</v>
      </c>
      <c r="E999" s="4">
        <v>1001</v>
      </c>
      <c r="F999" s="4">
        <v>7529991</v>
      </c>
      <c r="G999" s="4">
        <v>1</v>
      </c>
      <c r="H999" s="4">
        <v>2</v>
      </c>
      <c r="I999" s="4" t="s">
        <v>27</v>
      </c>
      <c r="J999" s="4" t="s">
        <v>19</v>
      </c>
      <c r="K999" s="4" t="s">
        <v>24</v>
      </c>
      <c r="L999" s="9">
        <v>45782</v>
      </c>
      <c r="M999" s="9" t="str">
        <f>TEXT(Source_data[[#This Row],[Listing_Date]],"mmm-yy")</f>
        <v>May-25</v>
      </c>
      <c r="N999" s="4">
        <f t="shared" si="15"/>
        <v>7522.4685314685312</v>
      </c>
      <c r="O999" s="3" cm="1">
        <f t="array" ref="O999">_xlfn.IFS(AND(K999="Broker",J999="Resale"),F999*0.5,AND(K999="Owner",J999="Resale"),F999*0,AND(K999="Builder",J999="Resale"),F999*0.3,AND(J999="New",K999="Broker"),F999*0.1,AND(J999="New",K999="Owner"),F999*0,AND(J999="New",K999="Builder"),F999*0.5)</f>
        <v>3764995.5</v>
      </c>
    </row>
    <row r="1000" spans="1:15" x14ac:dyDescent="0.3">
      <c r="A1000" s="8" t="s">
        <v>1069</v>
      </c>
      <c r="B1000" s="4" t="s">
        <v>988</v>
      </c>
      <c r="C1000" s="4" t="s">
        <v>991</v>
      </c>
      <c r="D1000" s="4">
        <v>3</v>
      </c>
      <c r="E1000" s="4">
        <v>1245</v>
      </c>
      <c r="F1000" s="4">
        <v>31448802</v>
      </c>
      <c r="G1000" s="4">
        <v>3</v>
      </c>
      <c r="H1000" s="4">
        <v>1</v>
      </c>
      <c r="I1000" s="4" t="s">
        <v>27</v>
      </c>
      <c r="J1000" s="4" t="s">
        <v>19</v>
      </c>
      <c r="K1000" s="4" t="s">
        <v>20</v>
      </c>
      <c r="L1000" s="9">
        <v>45416</v>
      </c>
      <c r="M1000" s="9" t="str">
        <f>TEXT(Source_data[[#This Row],[Listing_Date]],"mmm-yy")</f>
        <v>May-24</v>
      </c>
      <c r="N1000" s="4">
        <f t="shared" si="15"/>
        <v>25260.081927710842</v>
      </c>
      <c r="O1000" s="3" cm="1">
        <f t="array" ref="O1000">_xlfn.IFS(AND(K1000="Broker",J1000="Resale"),F1000*0.5,AND(K1000="Owner",J1000="Resale"),F1000*0,AND(K1000="Builder",J1000="Resale"),F1000*0.3,AND(J1000="New",K1000="Broker"),F1000*0.1,AND(J1000="New",K1000="Owner"),F1000*0,AND(J1000="New",K1000="Builder"),F1000*0.5)</f>
        <v>3144880.2</v>
      </c>
    </row>
    <row r="1001" spans="1:15" x14ac:dyDescent="0.3">
      <c r="A1001" s="8" t="s">
        <v>1070</v>
      </c>
      <c r="B1001" s="4" t="s">
        <v>988</v>
      </c>
      <c r="C1001" s="4" t="s">
        <v>999</v>
      </c>
      <c r="D1001" s="4">
        <v>3</v>
      </c>
      <c r="E1001" s="4">
        <v>1611</v>
      </c>
      <c r="F1001" s="4">
        <v>11616416</v>
      </c>
      <c r="G1001" s="4">
        <v>2</v>
      </c>
      <c r="H1001" s="4">
        <v>2</v>
      </c>
      <c r="I1001" s="4" t="s">
        <v>8</v>
      </c>
      <c r="J1001" s="4" t="s">
        <v>23</v>
      </c>
      <c r="K1001" s="4" t="s">
        <v>20</v>
      </c>
      <c r="L1001" s="9">
        <v>44949</v>
      </c>
      <c r="M1001" s="9" t="str">
        <f>TEXT(Source_data[[#This Row],[Listing_Date]],"mmm-yy")</f>
        <v>Jan-23</v>
      </c>
      <c r="N1001" s="4">
        <f t="shared" si="15"/>
        <v>7210.6865301055241</v>
      </c>
      <c r="O1001" s="3" cm="1">
        <f t="array" ref="O1001">_xlfn.IFS(AND(K1001="Broker",J1001="Resale"),F1001*0.5,AND(K1001="Owner",J1001="Resale"),F1001*0,AND(K1001="Builder",J1001="Resale"),F1001*0.3,AND(J1001="New",K1001="Broker"),F1001*0.1,AND(J1001="New",K1001="Owner"),F1001*0,AND(J1001="New",K1001="Builder"),F1001*0.5)</f>
        <v>5808208</v>
      </c>
    </row>
    <row r="1002" spans="1:15" x14ac:dyDescent="0.3">
      <c r="A1002" s="8" t="s">
        <v>1071</v>
      </c>
      <c r="B1002" s="4" t="s">
        <v>988</v>
      </c>
      <c r="C1002" s="4" t="s">
        <v>995</v>
      </c>
      <c r="D1002" s="4">
        <v>2</v>
      </c>
      <c r="E1002" s="4">
        <v>1022</v>
      </c>
      <c r="F1002" s="4">
        <v>6848486</v>
      </c>
      <c r="G1002" s="4">
        <v>3</v>
      </c>
      <c r="H1002" s="4">
        <v>0</v>
      </c>
      <c r="I1002" s="4" t="s">
        <v>18</v>
      </c>
      <c r="J1002" s="4" t="s">
        <v>19</v>
      </c>
      <c r="K1002" s="4" t="s">
        <v>36</v>
      </c>
      <c r="L1002" s="9">
        <v>45676</v>
      </c>
      <c r="M1002" s="9" t="str">
        <f>TEXT(Source_data[[#This Row],[Listing_Date]],"mmm-yy")</f>
        <v>Jan-25</v>
      </c>
      <c r="N1002" s="4">
        <f t="shared" si="15"/>
        <v>6701.0626223091976</v>
      </c>
      <c r="O1002" s="3" cm="1">
        <f t="array" ref="O1002">_xlfn.IFS(AND(K1002="Broker",J1002="Resale"),F1002*0.5,AND(K1002="Owner",J1002="Resale"),F1002*0,AND(K1002="Builder",J1002="Resale"),F1002*0.3,AND(J1002="New",K1002="Broker"),F1002*0.1,AND(J1002="New",K1002="Owner"),F1002*0,AND(J1002="New",K1002="Builder"),F1002*0.5)</f>
        <v>0</v>
      </c>
    </row>
    <row r="1003" spans="1:15" x14ac:dyDescent="0.3">
      <c r="A1003" s="8" t="s">
        <v>1072</v>
      </c>
      <c r="B1003" s="4" t="s">
        <v>988</v>
      </c>
      <c r="C1003" s="4" t="s">
        <v>989</v>
      </c>
      <c r="D1003" s="4">
        <v>3</v>
      </c>
      <c r="E1003" s="4">
        <v>1603</v>
      </c>
      <c r="F1003" s="4">
        <v>10979218</v>
      </c>
      <c r="G1003" s="4">
        <v>2</v>
      </c>
      <c r="H1003" s="4">
        <v>2</v>
      </c>
      <c r="I1003" s="4" t="s">
        <v>18</v>
      </c>
      <c r="J1003" s="4" t="s">
        <v>19</v>
      </c>
      <c r="K1003" s="4" t="s">
        <v>24</v>
      </c>
      <c r="L1003" s="9">
        <v>45731</v>
      </c>
      <c r="M1003" s="9" t="str">
        <f>TEXT(Source_data[[#This Row],[Listing_Date]],"mmm-yy")</f>
        <v>Mar-25</v>
      </c>
      <c r="N1003" s="4">
        <f t="shared" si="15"/>
        <v>6849.1690580162194</v>
      </c>
      <c r="O1003" s="3" cm="1">
        <f t="array" ref="O1003">_xlfn.IFS(AND(K1003="Broker",J1003="Resale"),F1003*0.5,AND(K1003="Owner",J1003="Resale"),F1003*0,AND(K1003="Builder",J1003="Resale"),F1003*0.3,AND(J1003="New",K1003="Broker"),F1003*0.1,AND(J1003="New",K1003="Owner"),F1003*0,AND(J1003="New",K1003="Builder"),F1003*0.5)</f>
        <v>5489609</v>
      </c>
    </row>
    <row r="1004" spans="1:15" x14ac:dyDescent="0.3">
      <c r="A1004" s="8" t="s">
        <v>1073</v>
      </c>
      <c r="B1004" s="4" t="s">
        <v>988</v>
      </c>
      <c r="C1004" s="4" t="s">
        <v>989</v>
      </c>
      <c r="D1004" s="4">
        <v>2</v>
      </c>
      <c r="E1004" s="4">
        <v>1341</v>
      </c>
      <c r="F1004" s="4">
        <v>11596426</v>
      </c>
      <c r="G1004" s="4">
        <v>2</v>
      </c>
      <c r="H1004" s="4">
        <v>1</v>
      </c>
      <c r="I1004" s="4" t="s">
        <v>8</v>
      </c>
      <c r="J1004" s="4" t="s">
        <v>23</v>
      </c>
      <c r="K1004" s="4" t="s">
        <v>24</v>
      </c>
      <c r="L1004" s="9">
        <v>44984</v>
      </c>
      <c r="M1004" s="9" t="str">
        <f>TEXT(Source_data[[#This Row],[Listing_Date]],"mmm-yy")</f>
        <v>Feb-23</v>
      </c>
      <c r="N1004" s="4">
        <f t="shared" si="15"/>
        <v>8647.5958240119307</v>
      </c>
      <c r="O1004" s="3" cm="1">
        <f t="array" ref="O1004">_xlfn.IFS(AND(K1004="Broker",J1004="Resale"),F1004*0.5,AND(K1004="Owner",J1004="Resale"),F1004*0,AND(K1004="Builder",J1004="Resale"),F1004*0.3,AND(J1004="New",K1004="Broker"),F1004*0.1,AND(J1004="New",K1004="Owner"),F1004*0,AND(J1004="New",K1004="Builder"),F1004*0.5)</f>
        <v>3478927.8</v>
      </c>
    </row>
    <row r="1005" spans="1:15" x14ac:dyDescent="0.3">
      <c r="A1005" s="8" t="s">
        <v>1074</v>
      </c>
      <c r="B1005" s="4" t="s">
        <v>988</v>
      </c>
      <c r="C1005" s="4" t="s">
        <v>995</v>
      </c>
      <c r="D1005" s="4">
        <v>1</v>
      </c>
      <c r="E1005" s="4">
        <v>508</v>
      </c>
      <c r="F1005" s="4">
        <v>3790409</v>
      </c>
      <c r="G1005" s="4">
        <v>1</v>
      </c>
      <c r="H1005" s="4">
        <v>2</v>
      </c>
      <c r="I1005" s="4" t="s">
        <v>8</v>
      </c>
      <c r="J1005" s="4" t="s">
        <v>23</v>
      </c>
      <c r="K1005" s="4" t="s">
        <v>20</v>
      </c>
      <c r="L1005" s="9">
        <v>45455</v>
      </c>
      <c r="M1005" s="9" t="str">
        <f>TEXT(Source_data[[#This Row],[Listing_Date]],"mmm-yy")</f>
        <v>Jun-24</v>
      </c>
      <c r="N1005" s="4">
        <f t="shared" si="15"/>
        <v>7461.4350393700788</v>
      </c>
      <c r="O1005" s="3" cm="1">
        <f t="array" ref="O1005">_xlfn.IFS(AND(K1005="Broker",J1005="Resale"),F1005*0.5,AND(K1005="Owner",J1005="Resale"),F1005*0,AND(K1005="Builder",J1005="Resale"),F1005*0.3,AND(J1005="New",K1005="Broker"),F1005*0.1,AND(J1005="New",K1005="Owner"),F1005*0,AND(J1005="New",K1005="Builder"),F1005*0.5)</f>
        <v>1895204.5</v>
      </c>
    </row>
    <row r="1006" spans="1:15" x14ac:dyDescent="0.3">
      <c r="A1006" s="8" t="s">
        <v>1075</v>
      </c>
      <c r="B1006" s="4" t="s">
        <v>988</v>
      </c>
      <c r="C1006" s="4" t="s">
        <v>999</v>
      </c>
      <c r="D1006" s="4">
        <v>2</v>
      </c>
      <c r="E1006" s="4">
        <v>1083</v>
      </c>
      <c r="F1006" s="4">
        <v>7700058</v>
      </c>
      <c r="G1006" s="4">
        <v>3</v>
      </c>
      <c r="H1006" s="4">
        <v>2</v>
      </c>
      <c r="I1006" s="4" t="s">
        <v>18</v>
      </c>
      <c r="J1006" s="4" t="s">
        <v>19</v>
      </c>
      <c r="K1006" s="4" t="s">
        <v>24</v>
      </c>
      <c r="L1006" s="9">
        <v>45750</v>
      </c>
      <c r="M1006" s="9" t="str">
        <f>TEXT(Source_data[[#This Row],[Listing_Date]],"mmm-yy")</f>
        <v>Apr-25</v>
      </c>
      <c r="N1006" s="4">
        <f t="shared" si="15"/>
        <v>7109.9335180055405</v>
      </c>
      <c r="O1006" s="3" cm="1">
        <f t="array" ref="O1006">_xlfn.IFS(AND(K1006="Broker",J1006="Resale"),F1006*0.5,AND(K1006="Owner",J1006="Resale"),F1006*0,AND(K1006="Builder",J1006="Resale"),F1006*0.3,AND(J1006="New",K1006="Broker"),F1006*0.1,AND(J1006="New",K1006="Owner"),F1006*0,AND(J1006="New",K1006="Builder"),F1006*0.5)</f>
        <v>3850029</v>
      </c>
    </row>
    <row r="1007" spans="1:15" x14ac:dyDescent="0.3">
      <c r="A1007" s="8" t="s">
        <v>1076</v>
      </c>
      <c r="B1007" s="4" t="s">
        <v>988</v>
      </c>
      <c r="C1007" s="4" t="s">
        <v>993</v>
      </c>
      <c r="D1007" s="4">
        <v>2</v>
      </c>
      <c r="E1007" s="4">
        <v>1123</v>
      </c>
      <c r="F1007" s="4">
        <v>6519936</v>
      </c>
      <c r="G1007" s="4">
        <v>2</v>
      </c>
      <c r="H1007" s="4">
        <v>3</v>
      </c>
      <c r="I1007" s="4" t="s">
        <v>8</v>
      </c>
      <c r="J1007" s="4" t="s">
        <v>19</v>
      </c>
      <c r="K1007" s="4" t="s">
        <v>36</v>
      </c>
      <c r="L1007" s="9">
        <v>45795</v>
      </c>
      <c r="M1007" s="9" t="str">
        <f>TEXT(Source_data[[#This Row],[Listing_Date]],"mmm-yy")</f>
        <v>May-25</v>
      </c>
      <c r="N1007" s="4">
        <f t="shared" si="15"/>
        <v>5805.8201246660728</v>
      </c>
      <c r="O1007" s="3" cm="1">
        <f t="array" ref="O1007">_xlfn.IFS(AND(K1007="Broker",J1007="Resale"),F1007*0.5,AND(K1007="Owner",J1007="Resale"),F1007*0,AND(K1007="Builder",J1007="Resale"),F1007*0.3,AND(J1007="New",K1007="Broker"),F1007*0.1,AND(J1007="New",K1007="Owner"),F1007*0,AND(J1007="New",K1007="Builder"),F1007*0.5)</f>
        <v>0</v>
      </c>
    </row>
    <row r="1008" spans="1:15" x14ac:dyDescent="0.3">
      <c r="A1008" s="8" t="s">
        <v>1077</v>
      </c>
      <c r="B1008" s="4" t="s">
        <v>988</v>
      </c>
      <c r="C1008" s="4" t="s">
        <v>993</v>
      </c>
      <c r="D1008" s="4">
        <v>4</v>
      </c>
      <c r="E1008" s="4">
        <v>1413</v>
      </c>
      <c r="F1008" s="4">
        <v>7903374</v>
      </c>
      <c r="G1008" s="4">
        <v>3</v>
      </c>
      <c r="H1008" s="4">
        <v>2</v>
      </c>
      <c r="I1008" s="4" t="s">
        <v>8</v>
      </c>
      <c r="J1008" s="4" t="s">
        <v>23</v>
      </c>
      <c r="K1008" s="4" t="s">
        <v>36</v>
      </c>
      <c r="L1008" s="9">
        <v>45170</v>
      </c>
      <c r="M1008" s="9" t="str">
        <f>TEXT(Source_data[[#This Row],[Listing_Date]],"mmm-yy")</f>
        <v>Sep-23</v>
      </c>
      <c r="N1008" s="4">
        <f t="shared" si="15"/>
        <v>5593.3290870488327</v>
      </c>
      <c r="O1008" s="3" cm="1">
        <f t="array" ref="O1008">_xlfn.IFS(AND(K1008="Broker",J1008="Resale"),F1008*0.5,AND(K1008="Owner",J1008="Resale"),F1008*0,AND(K1008="Builder",J1008="Resale"),F1008*0.3,AND(J1008="New",K1008="Broker"),F1008*0.1,AND(J1008="New",K1008="Owner"),F1008*0,AND(J1008="New",K1008="Builder"),F1008*0.5)</f>
        <v>0</v>
      </c>
    </row>
    <row r="1009" spans="1:15" x14ac:dyDescent="0.3">
      <c r="A1009" s="8" t="s">
        <v>1078</v>
      </c>
      <c r="B1009" s="4" t="s">
        <v>988</v>
      </c>
      <c r="C1009" s="4" t="s">
        <v>1007</v>
      </c>
      <c r="D1009" s="4">
        <v>3</v>
      </c>
      <c r="E1009" s="4">
        <v>1766</v>
      </c>
      <c r="F1009" s="4">
        <v>13352739</v>
      </c>
      <c r="G1009" s="4">
        <v>2</v>
      </c>
      <c r="H1009" s="4">
        <v>2</v>
      </c>
      <c r="I1009" s="4" t="s">
        <v>18</v>
      </c>
      <c r="J1009" s="4" t="s">
        <v>19</v>
      </c>
      <c r="K1009" s="4" t="s">
        <v>36</v>
      </c>
      <c r="L1009" s="9">
        <v>44982</v>
      </c>
      <c r="M1009" s="9" t="str">
        <f>TEXT(Source_data[[#This Row],[Listing_Date]],"mmm-yy")</f>
        <v>Feb-23</v>
      </c>
      <c r="N1009" s="4">
        <f t="shared" si="15"/>
        <v>7561.0073612684027</v>
      </c>
      <c r="O1009" s="3" cm="1">
        <f t="array" ref="O1009">_xlfn.IFS(AND(K1009="Broker",J1009="Resale"),F1009*0.5,AND(K1009="Owner",J1009="Resale"),F1009*0,AND(K1009="Builder",J1009="Resale"),F1009*0.3,AND(J1009="New",K1009="Broker"),F1009*0.1,AND(J1009="New",K1009="Owner"),F1009*0,AND(J1009="New",K1009="Builder"),F1009*0.5)</f>
        <v>0</v>
      </c>
    </row>
    <row r="1010" spans="1:15" x14ac:dyDescent="0.3">
      <c r="A1010" s="8" t="s">
        <v>1079</v>
      </c>
      <c r="B1010" s="4" t="s">
        <v>988</v>
      </c>
      <c r="C1010" s="4" t="s">
        <v>993</v>
      </c>
      <c r="D1010" s="4">
        <v>2</v>
      </c>
      <c r="E1010" s="4">
        <v>1415</v>
      </c>
      <c r="F1010" s="4">
        <v>9258878</v>
      </c>
      <c r="G1010" s="4">
        <v>3</v>
      </c>
      <c r="H1010" s="4">
        <v>2</v>
      </c>
      <c r="I1010" s="4" t="s">
        <v>8</v>
      </c>
      <c r="J1010" s="4" t="s">
        <v>23</v>
      </c>
      <c r="K1010" s="4" t="s">
        <v>36</v>
      </c>
      <c r="L1010" s="9">
        <v>45117</v>
      </c>
      <c r="M1010" s="9" t="str">
        <f>TEXT(Source_data[[#This Row],[Listing_Date]],"mmm-yy")</f>
        <v>Jul-23</v>
      </c>
      <c r="N1010" s="4">
        <f t="shared" si="15"/>
        <v>6543.37667844523</v>
      </c>
      <c r="O1010" s="3" cm="1">
        <f t="array" ref="O1010">_xlfn.IFS(AND(K1010="Broker",J1010="Resale"),F1010*0.5,AND(K1010="Owner",J1010="Resale"),F1010*0,AND(K1010="Builder",J1010="Resale"),F1010*0.3,AND(J1010="New",K1010="Broker"),F1010*0.1,AND(J1010="New",K1010="Owner"),F1010*0,AND(J1010="New",K1010="Builder"),F1010*0.5)</f>
        <v>0</v>
      </c>
    </row>
    <row r="1011" spans="1:15" x14ac:dyDescent="0.3">
      <c r="A1011" s="8" t="s">
        <v>1080</v>
      </c>
      <c r="B1011" s="4" t="s">
        <v>988</v>
      </c>
      <c r="C1011" s="4" t="s">
        <v>995</v>
      </c>
      <c r="D1011" s="4">
        <v>2</v>
      </c>
      <c r="E1011" s="4">
        <v>947</v>
      </c>
      <c r="F1011" s="4">
        <v>6407578</v>
      </c>
      <c r="G1011" s="4">
        <v>3</v>
      </c>
      <c r="H1011" s="4">
        <v>1</v>
      </c>
      <c r="I1011" s="4" t="s">
        <v>27</v>
      </c>
      <c r="J1011" s="4" t="s">
        <v>23</v>
      </c>
      <c r="K1011" s="4" t="s">
        <v>36</v>
      </c>
      <c r="L1011" s="9">
        <v>45634</v>
      </c>
      <c r="M1011" s="9" t="str">
        <f>TEXT(Source_data[[#This Row],[Listing_Date]],"mmm-yy")</f>
        <v>Dec-24</v>
      </c>
      <c r="N1011" s="4">
        <f t="shared" si="15"/>
        <v>6766.1858500527987</v>
      </c>
      <c r="O1011" s="3" cm="1">
        <f t="array" ref="O1011">_xlfn.IFS(AND(K1011="Broker",J1011="Resale"),F1011*0.5,AND(K1011="Owner",J1011="Resale"),F1011*0,AND(K1011="Builder",J1011="Resale"),F1011*0.3,AND(J1011="New",K1011="Broker"),F1011*0.1,AND(J1011="New",K1011="Owner"),F1011*0,AND(J1011="New",K1011="Builder"),F1011*0.5)</f>
        <v>0</v>
      </c>
    </row>
    <row r="1012" spans="1:15" x14ac:dyDescent="0.3">
      <c r="A1012" s="8" t="s">
        <v>1081</v>
      </c>
      <c r="B1012" s="4" t="s">
        <v>988</v>
      </c>
      <c r="C1012" s="4" t="s">
        <v>993</v>
      </c>
      <c r="D1012" s="4">
        <v>3</v>
      </c>
      <c r="E1012" s="4">
        <v>1778</v>
      </c>
      <c r="F1012" s="4">
        <v>12151958</v>
      </c>
      <c r="G1012" s="4">
        <v>3</v>
      </c>
      <c r="H1012" s="4">
        <v>2</v>
      </c>
      <c r="I1012" s="4" t="s">
        <v>8</v>
      </c>
      <c r="J1012" s="4" t="s">
        <v>19</v>
      </c>
      <c r="K1012" s="4" t="s">
        <v>36</v>
      </c>
      <c r="L1012" s="9">
        <v>45908</v>
      </c>
      <c r="M1012" s="9" t="str">
        <f>TEXT(Source_data[[#This Row],[Listing_Date]],"mmm-yy")</f>
        <v>Sep-25</v>
      </c>
      <c r="N1012" s="4">
        <f t="shared" si="15"/>
        <v>6834.6220472440946</v>
      </c>
      <c r="O1012" s="3" cm="1">
        <f t="array" ref="O1012">_xlfn.IFS(AND(K1012="Broker",J1012="Resale"),F1012*0.5,AND(K1012="Owner",J1012="Resale"),F1012*0,AND(K1012="Builder",J1012="Resale"),F1012*0.3,AND(J1012="New",K1012="Broker"),F1012*0.1,AND(J1012="New",K1012="Owner"),F1012*0,AND(J1012="New",K1012="Builder"),F1012*0.5)</f>
        <v>0</v>
      </c>
    </row>
    <row r="1013" spans="1:15" x14ac:dyDescent="0.3">
      <c r="A1013" s="8" t="s">
        <v>1082</v>
      </c>
      <c r="B1013" s="4" t="s">
        <v>988</v>
      </c>
      <c r="C1013" s="4" t="s">
        <v>989</v>
      </c>
      <c r="D1013" s="4">
        <v>3</v>
      </c>
      <c r="E1013" s="4">
        <v>1440</v>
      </c>
      <c r="F1013" s="4">
        <v>10405934</v>
      </c>
      <c r="G1013" s="4">
        <v>2</v>
      </c>
      <c r="H1013" s="4">
        <v>1</v>
      </c>
      <c r="I1013" s="4" t="s">
        <v>8</v>
      </c>
      <c r="J1013" s="4" t="s">
        <v>23</v>
      </c>
      <c r="K1013" s="4" t="s">
        <v>20</v>
      </c>
      <c r="L1013" s="9">
        <v>45257</v>
      </c>
      <c r="M1013" s="9" t="str">
        <f>TEXT(Source_data[[#This Row],[Listing_Date]],"mmm-yy")</f>
        <v>Nov-23</v>
      </c>
      <c r="N1013" s="4">
        <f t="shared" si="15"/>
        <v>7226.3430555555551</v>
      </c>
      <c r="O1013" s="3" cm="1">
        <f t="array" ref="O1013">_xlfn.IFS(AND(K1013="Broker",J1013="Resale"),F1013*0.5,AND(K1013="Owner",J1013="Resale"),F1013*0,AND(K1013="Builder",J1013="Resale"),F1013*0.3,AND(J1013="New",K1013="Broker"),F1013*0.1,AND(J1013="New",K1013="Owner"),F1013*0,AND(J1013="New",K1013="Builder"),F1013*0.5)</f>
        <v>5202967</v>
      </c>
    </row>
    <row r="1014" spans="1:15" x14ac:dyDescent="0.3">
      <c r="A1014" s="8" t="s">
        <v>1083</v>
      </c>
      <c r="B1014" s="4" t="s">
        <v>988</v>
      </c>
      <c r="C1014" s="4" t="s">
        <v>993</v>
      </c>
      <c r="D1014" s="4">
        <v>2</v>
      </c>
      <c r="E1014" s="4">
        <v>1165</v>
      </c>
      <c r="F1014" s="4">
        <v>6810142</v>
      </c>
      <c r="G1014" s="4">
        <v>3</v>
      </c>
      <c r="H1014" s="4">
        <v>0</v>
      </c>
      <c r="I1014" s="4" t="s">
        <v>18</v>
      </c>
      <c r="J1014" s="4" t="s">
        <v>19</v>
      </c>
      <c r="K1014" s="4" t="s">
        <v>20</v>
      </c>
      <c r="L1014" s="9">
        <v>45107</v>
      </c>
      <c r="M1014" s="9" t="str">
        <f>TEXT(Source_data[[#This Row],[Listing_Date]],"mmm-yy")</f>
        <v>Jun-23</v>
      </c>
      <c r="N1014" s="4">
        <f t="shared" si="15"/>
        <v>5845.615450643777</v>
      </c>
      <c r="O1014" s="3" cm="1">
        <f t="array" ref="O1014">_xlfn.IFS(AND(K1014="Broker",J1014="Resale"),F1014*0.5,AND(K1014="Owner",J1014="Resale"),F1014*0,AND(K1014="Builder",J1014="Resale"),F1014*0.3,AND(J1014="New",K1014="Broker"),F1014*0.1,AND(J1014="New",K1014="Owner"),F1014*0,AND(J1014="New",K1014="Builder"),F1014*0.5)</f>
        <v>681014.20000000007</v>
      </c>
    </row>
    <row r="1015" spans="1:15" x14ac:dyDescent="0.3">
      <c r="A1015" s="8" t="s">
        <v>1084</v>
      </c>
      <c r="B1015" s="4" t="s">
        <v>988</v>
      </c>
      <c r="C1015" s="4" t="s">
        <v>995</v>
      </c>
      <c r="D1015" s="4">
        <v>2</v>
      </c>
      <c r="E1015" s="4">
        <v>649</v>
      </c>
      <c r="F1015" s="4">
        <v>4979985</v>
      </c>
      <c r="G1015" s="4">
        <v>2</v>
      </c>
      <c r="H1015" s="4">
        <v>2</v>
      </c>
      <c r="I1015" s="4" t="s">
        <v>8</v>
      </c>
      <c r="J1015" s="4" t="s">
        <v>23</v>
      </c>
      <c r="K1015" s="4" t="s">
        <v>24</v>
      </c>
      <c r="L1015" s="9">
        <v>44984</v>
      </c>
      <c r="M1015" s="9" t="str">
        <f>TEXT(Source_data[[#This Row],[Listing_Date]],"mmm-yy")</f>
        <v>Feb-23</v>
      </c>
      <c r="N1015" s="4">
        <f t="shared" si="15"/>
        <v>7673.3204930662559</v>
      </c>
      <c r="O1015" s="3" cm="1">
        <f t="array" ref="O1015">_xlfn.IFS(AND(K1015="Broker",J1015="Resale"),F1015*0.5,AND(K1015="Owner",J1015="Resale"),F1015*0,AND(K1015="Builder",J1015="Resale"),F1015*0.3,AND(J1015="New",K1015="Broker"),F1015*0.1,AND(J1015="New",K1015="Owner"),F1015*0,AND(J1015="New",K1015="Builder"),F1015*0.5)</f>
        <v>1493995.5</v>
      </c>
    </row>
    <row r="1016" spans="1:15" x14ac:dyDescent="0.3">
      <c r="A1016" s="8" t="s">
        <v>1085</v>
      </c>
      <c r="B1016" s="4" t="s">
        <v>988</v>
      </c>
      <c r="C1016" s="4" t="s">
        <v>995</v>
      </c>
      <c r="D1016" s="4">
        <v>3</v>
      </c>
      <c r="E1016" s="4">
        <v>1285</v>
      </c>
      <c r="F1016" s="4">
        <v>8089074</v>
      </c>
      <c r="G1016" s="4">
        <v>4</v>
      </c>
      <c r="H1016" s="4">
        <v>2</v>
      </c>
      <c r="I1016" s="4" t="s">
        <v>27</v>
      </c>
      <c r="J1016" s="4" t="s">
        <v>19</v>
      </c>
      <c r="K1016" s="4" t="s">
        <v>36</v>
      </c>
      <c r="L1016" s="9">
        <v>45111</v>
      </c>
      <c r="M1016" s="9" t="str">
        <f>TEXT(Source_data[[#This Row],[Listing_Date]],"mmm-yy")</f>
        <v>Jul-23</v>
      </c>
      <c r="N1016" s="4">
        <f t="shared" si="15"/>
        <v>6294.9992217898834</v>
      </c>
      <c r="O1016" s="3" cm="1">
        <f t="array" ref="O1016">_xlfn.IFS(AND(K1016="Broker",J1016="Resale"),F1016*0.5,AND(K1016="Owner",J1016="Resale"),F1016*0,AND(K1016="Builder",J1016="Resale"),F1016*0.3,AND(J1016="New",K1016="Broker"),F1016*0.1,AND(J1016="New",K1016="Owner"),F1016*0,AND(J1016="New",K1016="Builder"),F1016*0.5)</f>
        <v>0</v>
      </c>
    </row>
    <row r="1017" spans="1:15" x14ac:dyDescent="0.3">
      <c r="A1017" s="8" t="s">
        <v>1086</v>
      </c>
      <c r="B1017" s="4" t="s">
        <v>988</v>
      </c>
      <c r="C1017" s="4" t="s">
        <v>989</v>
      </c>
      <c r="D1017" s="4">
        <v>3</v>
      </c>
      <c r="E1017" s="4">
        <v>645</v>
      </c>
      <c r="F1017" s="4">
        <v>4537701</v>
      </c>
      <c r="G1017" s="4">
        <v>3</v>
      </c>
      <c r="H1017" s="4">
        <v>3</v>
      </c>
      <c r="I1017" s="4" t="s">
        <v>18</v>
      </c>
      <c r="J1017" s="4" t="s">
        <v>23</v>
      </c>
      <c r="K1017" s="4" t="s">
        <v>24</v>
      </c>
      <c r="L1017" s="9">
        <v>45443</v>
      </c>
      <c r="M1017" s="9" t="str">
        <f>TEXT(Source_data[[#This Row],[Listing_Date]],"mmm-yy")</f>
        <v>May-24</v>
      </c>
      <c r="N1017" s="4">
        <f t="shared" si="15"/>
        <v>7035.1953488372092</v>
      </c>
      <c r="O1017" s="3" cm="1">
        <f t="array" ref="O1017">_xlfn.IFS(AND(K1017="Broker",J1017="Resale"),F1017*0.5,AND(K1017="Owner",J1017="Resale"),F1017*0,AND(K1017="Builder",J1017="Resale"),F1017*0.3,AND(J1017="New",K1017="Broker"),F1017*0.1,AND(J1017="New",K1017="Owner"),F1017*0,AND(J1017="New",K1017="Builder"),F1017*0.5)</f>
        <v>1361310.3</v>
      </c>
    </row>
    <row r="1018" spans="1:15" x14ac:dyDescent="0.3">
      <c r="A1018" s="8" t="s">
        <v>1087</v>
      </c>
      <c r="B1018" s="4" t="s">
        <v>988</v>
      </c>
      <c r="C1018" s="4" t="s">
        <v>999</v>
      </c>
      <c r="D1018" s="4">
        <v>2</v>
      </c>
      <c r="E1018" s="4">
        <v>896</v>
      </c>
      <c r="F1018" s="4">
        <v>6582250</v>
      </c>
      <c r="G1018" s="4">
        <v>1</v>
      </c>
      <c r="H1018" s="4">
        <v>2</v>
      </c>
      <c r="I1018" s="4" t="s">
        <v>8</v>
      </c>
      <c r="J1018" s="4" t="s">
        <v>23</v>
      </c>
      <c r="K1018" s="4" t="s">
        <v>36</v>
      </c>
      <c r="L1018" s="9">
        <v>45751</v>
      </c>
      <c r="M1018" s="9" t="str">
        <f>TEXT(Source_data[[#This Row],[Listing_Date]],"mmm-yy")</f>
        <v>Apr-25</v>
      </c>
      <c r="N1018" s="4">
        <f t="shared" si="15"/>
        <v>7346.2611607142853</v>
      </c>
      <c r="O1018" s="3" cm="1">
        <f t="array" ref="O1018">_xlfn.IFS(AND(K1018="Broker",J1018="Resale"),F1018*0.5,AND(K1018="Owner",J1018="Resale"),F1018*0,AND(K1018="Builder",J1018="Resale"),F1018*0.3,AND(J1018="New",K1018="Broker"),F1018*0.1,AND(J1018="New",K1018="Owner"),F1018*0,AND(J1018="New",K1018="Builder"),F1018*0.5)</f>
        <v>0</v>
      </c>
    </row>
    <row r="1019" spans="1:15" x14ac:dyDescent="0.3">
      <c r="A1019" s="8" t="s">
        <v>1088</v>
      </c>
      <c r="B1019" s="4" t="s">
        <v>988</v>
      </c>
      <c r="C1019" s="4" t="s">
        <v>993</v>
      </c>
      <c r="D1019" s="4">
        <v>2</v>
      </c>
      <c r="E1019" s="4">
        <v>1034</v>
      </c>
      <c r="F1019" s="4">
        <v>5082155</v>
      </c>
      <c r="G1019" s="4">
        <v>2</v>
      </c>
      <c r="H1019" s="4">
        <v>3</v>
      </c>
      <c r="I1019" s="4" t="s">
        <v>27</v>
      </c>
      <c r="J1019" s="4" t="s">
        <v>23</v>
      </c>
      <c r="K1019" s="4" t="s">
        <v>20</v>
      </c>
      <c r="L1019" s="9">
        <v>45235</v>
      </c>
      <c r="M1019" s="9" t="str">
        <f>TEXT(Source_data[[#This Row],[Listing_Date]],"mmm-yy")</f>
        <v>Nov-23</v>
      </c>
      <c r="N1019" s="4">
        <f t="shared" si="15"/>
        <v>4915.0435203094776</v>
      </c>
      <c r="O1019" s="3" cm="1">
        <f t="array" ref="O1019">_xlfn.IFS(AND(K1019="Broker",J1019="Resale"),F1019*0.5,AND(K1019="Owner",J1019="Resale"),F1019*0,AND(K1019="Builder",J1019="Resale"),F1019*0.3,AND(J1019="New",K1019="Broker"),F1019*0.1,AND(J1019="New",K1019="Owner"),F1019*0,AND(J1019="New",K1019="Builder"),F1019*0.5)</f>
        <v>2541077.5</v>
      </c>
    </row>
    <row r="1020" spans="1:15" x14ac:dyDescent="0.3">
      <c r="A1020" s="8" t="s">
        <v>1089</v>
      </c>
      <c r="B1020" s="4" t="s">
        <v>988</v>
      </c>
      <c r="C1020" s="4" t="s">
        <v>991</v>
      </c>
      <c r="D1020" s="4">
        <v>2</v>
      </c>
      <c r="E1020" s="4">
        <v>641</v>
      </c>
      <c r="F1020" s="4">
        <v>3903115</v>
      </c>
      <c r="G1020" s="4">
        <v>3</v>
      </c>
      <c r="H1020" s="4">
        <v>1</v>
      </c>
      <c r="I1020" s="4" t="s">
        <v>27</v>
      </c>
      <c r="J1020" s="4" t="s">
        <v>23</v>
      </c>
      <c r="K1020" s="4" t="s">
        <v>24</v>
      </c>
      <c r="L1020" s="9">
        <v>45750</v>
      </c>
      <c r="M1020" s="9" t="str">
        <f>TEXT(Source_data[[#This Row],[Listing_Date]],"mmm-yy")</f>
        <v>Apr-25</v>
      </c>
      <c r="N1020" s="4">
        <f t="shared" si="15"/>
        <v>6089.1029641185651</v>
      </c>
      <c r="O1020" s="3" cm="1">
        <f t="array" ref="O1020">_xlfn.IFS(AND(K1020="Broker",J1020="Resale"),F1020*0.5,AND(K1020="Owner",J1020="Resale"),F1020*0,AND(K1020="Builder",J1020="Resale"),F1020*0.3,AND(J1020="New",K1020="Broker"),F1020*0.1,AND(J1020="New",K1020="Owner"),F1020*0,AND(J1020="New",K1020="Builder"),F1020*0.5)</f>
        <v>1170934.5</v>
      </c>
    </row>
    <row r="1021" spans="1:15" x14ac:dyDescent="0.3">
      <c r="A1021" s="8" t="s">
        <v>1090</v>
      </c>
      <c r="B1021" s="4" t="s">
        <v>988</v>
      </c>
      <c r="C1021" s="4" t="s">
        <v>995</v>
      </c>
      <c r="D1021" s="4">
        <v>3</v>
      </c>
      <c r="E1021" s="4">
        <v>1515</v>
      </c>
      <c r="F1021" s="4">
        <v>12595984</v>
      </c>
      <c r="G1021" s="4">
        <v>3</v>
      </c>
      <c r="H1021" s="4">
        <v>1</v>
      </c>
      <c r="I1021" s="4" t="s">
        <v>8</v>
      </c>
      <c r="J1021" s="4" t="s">
        <v>19</v>
      </c>
      <c r="K1021" s="4" t="s">
        <v>20</v>
      </c>
      <c r="L1021" s="9">
        <v>45258</v>
      </c>
      <c r="M1021" s="9" t="str">
        <f>TEXT(Source_data[[#This Row],[Listing_Date]],"mmm-yy")</f>
        <v>Nov-23</v>
      </c>
      <c r="N1021" s="4">
        <f t="shared" si="15"/>
        <v>8314.1808580858087</v>
      </c>
      <c r="O1021" s="3" cm="1">
        <f t="array" ref="O1021">_xlfn.IFS(AND(K1021="Broker",J1021="Resale"),F1021*0.5,AND(K1021="Owner",J1021="Resale"),F1021*0,AND(K1021="Builder",J1021="Resale"),F1021*0.3,AND(J1021="New",K1021="Broker"),F1021*0.1,AND(J1021="New",K1021="Owner"),F1021*0,AND(J1021="New",K1021="Builder"),F1021*0.5)</f>
        <v>1259598.4000000001</v>
      </c>
    </row>
    <row r="1022" spans="1:15" x14ac:dyDescent="0.3">
      <c r="A1022" s="8" t="s">
        <v>1091</v>
      </c>
      <c r="B1022" s="4" t="s">
        <v>988</v>
      </c>
      <c r="C1022" s="4" t="s">
        <v>999</v>
      </c>
      <c r="D1022" s="4">
        <v>2</v>
      </c>
      <c r="E1022" s="4">
        <v>869</v>
      </c>
      <c r="F1022" s="4">
        <v>6170705</v>
      </c>
      <c r="G1022" s="4">
        <v>2</v>
      </c>
      <c r="H1022" s="4">
        <v>2</v>
      </c>
      <c r="I1022" s="4" t="s">
        <v>27</v>
      </c>
      <c r="J1022" s="4" t="s">
        <v>19</v>
      </c>
      <c r="K1022" s="4" t="s">
        <v>24</v>
      </c>
      <c r="L1022" s="9">
        <v>45115</v>
      </c>
      <c r="M1022" s="9" t="str">
        <f>TEXT(Source_data[[#This Row],[Listing_Date]],"mmm-yy")</f>
        <v>Jul-23</v>
      </c>
      <c r="N1022" s="4">
        <f t="shared" si="15"/>
        <v>7100.926352128884</v>
      </c>
      <c r="O1022" s="3" cm="1">
        <f t="array" ref="O1022">_xlfn.IFS(AND(K1022="Broker",J1022="Resale"),F1022*0.5,AND(K1022="Owner",J1022="Resale"),F1022*0,AND(K1022="Builder",J1022="Resale"),F1022*0.3,AND(J1022="New",K1022="Broker"),F1022*0.1,AND(J1022="New",K1022="Owner"),F1022*0,AND(J1022="New",K1022="Builder"),F1022*0.5)</f>
        <v>3085352.5</v>
      </c>
    </row>
    <row r="1023" spans="1:15" x14ac:dyDescent="0.3">
      <c r="A1023" s="8" t="s">
        <v>1092</v>
      </c>
      <c r="B1023" s="4" t="s">
        <v>988</v>
      </c>
      <c r="C1023" s="4" t="s">
        <v>991</v>
      </c>
      <c r="D1023" s="4">
        <v>2</v>
      </c>
      <c r="E1023" s="4">
        <v>1722</v>
      </c>
      <c r="F1023" s="4">
        <v>12953196</v>
      </c>
      <c r="G1023" s="4">
        <v>1</v>
      </c>
      <c r="H1023" s="4">
        <v>1</v>
      </c>
      <c r="I1023" s="4" t="s">
        <v>18</v>
      </c>
      <c r="J1023" s="4" t="s">
        <v>23</v>
      </c>
      <c r="K1023" s="4" t="s">
        <v>36</v>
      </c>
      <c r="L1023" s="9">
        <v>44936</v>
      </c>
      <c r="M1023" s="9" t="str">
        <f>TEXT(Source_data[[#This Row],[Listing_Date]],"mmm-yy")</f>
        <v>Jan-23</v>
      </c>
      <c r="N1023" s="4">
        <f t="shared" si="15"/>
        <v>7522.1811846689898</v>
      </c>
      <c r="O1023" s="3" cm="1">
        <f t="array" ref="O1023">_xlfn.IFS(AND(K1023="Broker",J1023="Resale"),F1023*0.5,AND(K1023="Owner",J1023="Resale"),F1023*0,AND(K1023="Builder",J1023="Resale"),F1023*0.3,AND(J1023="New",K1023="Broker"),F1023*0.1,AND(J1023="New",K1023="Owner"),F1023*0,AND(J1023="New",K1023="Builder"),F1023*0.5)</f>
        <v>0</v>
      </c>
    </row>
    <row r="1024" spans="1:15" x14ac:dyDescent="0.3">
      <c r="A1024" s="8" t="s">
        <v>1093</v>
      </c>
      <c r="B1024" s="4" t="s">
        <v>988</v>
      </c>
      <c r="C1024" s="4" t="s">
        <v>991</v>
      </c>
      <c r="D1024" s="4">
        <v>4</v>
      </c>
      <c r="E1024" s="4">
        <v>2157</v>
      </c>
      <c r="F1024" s="4">
        <v>16136241</v>
      </c>
      <c r="G1024" s="4">
        <v>3</v>
      </c>
      <c r="H1024" s="4">
        <v>1</v>
      </c>
      <c r="I1024" s="4" t="s">
        <v>18</v>
      </c>
      <c r="J1024" s="4" t="s">
        <v>19</v>
      </c>
      <c r="K1024" s="4" t="s">
        <v>36</v>
      </c>
      <c r="L1024" s="9">
        <v>45069</v>
      </c>
      <c r="M1024" s="9" t="str">
        <f>TEXT(Source_data[[#This Row],[Listing_Date]],"mmm-yy")</f>
        <v>May-23</v>
      </c>
      <c r="N1024" s="4">
        <f t="shared" si="15"/>
        <v>7480.872044506259</v>
      </c>
      <c r="O1024" s="3" cm="1">
        <f t="array" ref="O1024">_xlfn.IFS(AND(K1024="Broker",J1024="Resale"),F1024*0.5,AND(K1024="Owner",J1024="Resale"),F1024*0,AND(K1024="Builder",J1024="Resale"),F1024*0.3,AND(J1024="New",K1024="Broker"),F1024*0.1,AND(J1024="New",K1024="Owner"),F1024*0,AND(J1024="New",K1024="Builder"),F1024*0.5)</f>
        <v>0</v>
      </c>
    </row>
    <row r="1025" spans="1:15" x14ac:dyDescent="0.3">
      <c r="A1025" s="8" t="s">
        <v>1094</v>
      </c>
      <c r="B1025" s="4" t="s">
        <v>988</v>
      </c>
      <c r="C1025" s="4" t="s">
        <v>991</v>
      </c>
      <c r="D1025" s="4">
        <v>2</v>
      </c>
      <c r="E1025" s="4">
        <v>1204</v>
      </c>
      <c r="F1025" s="4">
        <v>9882442</v>
      </c>
      <c r="G1025" s="4">
        <v>2</v>
      </c>
      <c r="H1025" s="4">
        <v>2</v>
      </c>
      <c r="I1025" s="4" t="s">
        <v>8</v>
      </c>
      <c r="J1025" s="4" t="s">
        <v>19</v>
      </c>
      <c r="K1025" s="4" t="s">
        <v>24</v>
      </c>
      <c r="L1025" s="9">
        <v>45748</v>
      </c>
      <c r="M1025" s="9" t="str">
        <f>TEXT(Source_data[[#This Row],[Listing_Date]],"mmm-yy")</f>
        <v>Apr-25</v>
      </c>
      <c r="N1025" s="4">
        <f t="shared" si="15"/>
        <v>8208.0083056478397</v>
      </c>
      <c r="O1025" s="3" cm="1">
        <f t="array" ref="O1025">_xlfn.IFS(AND(K1025="Broker",J1025="Resale"),F1025*0.5,AND(K1025="Owner",J1025="Resale"),F1025*0,AND(K1025="Builder",J1025="Resale"),F1025*0.3,AND(J1025="New",K1025="Broker"),F1025*0.1,AND(J1025="New",K1025="Owner"),F1025*0,AND(J1025="New",K1025="Builder"),F1025*0.5)</f>
        <v>4941221</v>
      </c>
    </row>
    <row r="1026" spans="1:15" x14ac:dyDescent="0.3">
      <c r="A1026" s="8" t="s">
        <v>1095</v>
      </c>
      <c r="B1026" s="4" t="s">
        <v>988</v>
      </c>
      <c r="C1026" s="4" t="s">
        <v>991</v>
      </c>
      <c r="D1026" s="4">
        <v>4</v>
      </c>
      <c r="E1026" s="4">
        <v>1053</v>
      </c>
      <c r="F1026" s="4">
        <v>5849889</v>
      </c>
      <c r="G1026" s="4">
        <v>4</v>
      </c>
      <c r="H1026" s="4">
        <v>3</v>
      </c>
      <c r="I1026" s="4" t="s">
        <v>18</v>
      </c>
      <c r="J1026" s="4" t="s">
        <v>23</v>
      </c>
      <c r="K1026" s="4" t="s">
        <v>24</v>
      </c>
      <c r="L1026" s="9">
        <v>45262</v>
      </c>
      <c r="M1026" s="9" t="str">
        <f>TEXT(Source_data[[#This Row],[Listing_Date]],"mmm-yy")</f>
        <v>Dec-23</v>
      </c>
      <c r="N1026" s="4">
        <f t="shared" si="15"/>
        <v>5555.4501424501423</v>
      </c>
      <c r="O1026" s="3" cm="1">
        <f t="array" ref="O1026">_xlfn.IFS(AND(K1026="Broker",J1026="Resale"),F1026*0.5,AND(K1026="Owner",J1026="Resale"),F1026*0,AND(K1026="Builder",J1026="Resale"),F1026*0.3,AND(J1026="New",K1026="Broker"),F1026*0.1,AND(J1026="New",K1026="Owner"),F1026*0,AND(J1026="New",K1026="Builder"),F1026*0.5)</f>
        <v>1754966.7</v>
      </c>
    </row>
    <row r="1027" spans="1:15" x14ac:dyDescent="0.3">
      <c r="A1027" s="8" t="s">
        <v>1096</v>
      </c>
      <c r="B1027" s="4" t="s">
        <v>988</v>
      </c>
      <c r="C1027" s="4" t="s">
        <v>989</v>
      </c>
      <c r="D1027" s="4">
        <v>2</v>
      </c>
      <c r="E1027" s="4">
        <v>1146</v>
      </c>
      <c r="F1027" s="4">
        <v>7128210</v>
      </c>
      <c r="G1027" s="4">
        <v>2</v>
      </c>
      <c r="H1027" s="4">
        <v>1</v>
      </c>
      <c r="I1027" s="4" t="s">
        <v>27</v>
      </c>
      <c r="J1027" s="4" t="s">
        <v>23</v>
      </c>
      <c r="K1027" s="4" t="s">
        <v>24</v>
      </c>
      <c r="L1027" s="9">
        <v>45749</v>
      </c>
      <c r="M1027" s="9" t="str">
        <f>TEXT(Source_data[[#This Row],[Listing_Date]],"mmm-yy")</f>
        <v>Apr-25</v>
      </c>
      <c r="N1027" s="4">
        <f t="shared" ref="N1027:N1090" si="16">F1027/E1027</f>
        <v>6220.0785340314133</v>
      </c>
      <c r="O1027" s="3" cm="1">
        <f t="array" ref="O1027">_xlfn.IFS(AND(K1027="Broker",J1027="Resale"),F1027*0.5,AND(K1027="Owner",J1027="Resale"),F1027*0,AND(K1027="Builder",J1027="Resale"),F1027*0.3,AND(J1027="New",K1027="Broker"),F1027*0.1,AND(J1027="New",K1027="Owner"),F1027*0,AND(J1027="New",K1027="Builder"),F1027*0.5)</f>
        <v>2138463</v>
      </c>
    </row>
    <row r="1028" spans="1:15" x14ac:dyDescent="0.3">
      <c r="A1028" s="8" t="s">
        <v>1097</v>
      </c>
      <c r="B1028" s="4" t="s">
        <v>988</v>
      </c>
      <c r="C1028" s="4" t="s">
        <v>999</v>
      </c>
      <c r="D1028" s="4">
        <v>3</v>
      </c>
      <c r="E1028" s="4">
        <v>997</v>
      </c>
      <c r="F1028" s="4">
        <v>6825036</v>
      </c>
      <c r="G1028" s="4">
        <v>2</v>
      </c>
      <c r="H1028" s="4">
        <v>2</v>
      </c>
      <c r="I1028" s="4" t="s">
        <v>18</v>
      </c>
      <c r="J1028" s="4" t="s">
        <v>23</v>
      </c>
      <c r="K1028" s="4" t="s">
        <v>36</v>
      </c>
      <c r="L1028" s="9">
        <v>44998</v>
      </c>
      <c r="M1028" s="9" t="str">
        <f>TEXT(Source_data[[#This Row],[Listing_Date]],"mmm-yy")</f>
        <v>Mar-23</v>
      </c>
      <c r="N1028" s="4">
        <f t="shared" si="16"/>
        <v>6845.5727181544635</v>
      </c>
      <c r="O1028" s="3" cm="1">
        <f t="array" ref="O1028">_xlfn.IFS(AND(K1028="Broker",J1028="Resale"),F1028*0.5,AND(K1028="Owner",J1028="Resale"),F1028*0,AND(K1028="Builder",J1028="Resale"),F1028*0.3,AND(J1028="New",K1028="Broker"),F1028*0.1,AND(J1028="New",K1028="Owner"),F1028*0,AND(J1028="New",K1028="Builder"),F1028*0.5)</f>
        <v>0</v>
      </c>
    </row>
    <row r="1029" spans="1:15" x14ac:dyDescent="0.3">
      <c r="A1029" s="8" t="s">
        <v>1098</v>
      </c>
      <c r="B1029" s="4" t="s">
        <v>988</v>
      </c>
      <c r="C1029" s="4" t="s">
        <v>1007</v>
      </c>
      <c r="D1029" s="4">
        <v>4</v>
      </c>
      <c r="E1029" s="4">
        <v>2207</v>
      </c>
      <c r="F1029" s="4">
        <v>13178662</v>
      </c>
      <c r="G1029" s="4">
        <v>2</v>
      </c>
      <c r="H1029" s="4">
        <v>2</v>
      </c>
      <c r="I1029" s="4" t="s">
        <v>18</v>
      </c>
      <c r="J1029" s="4" t="s">
        <v>19</v>
      </c>
      <c r="K1029" s="4" t="s">
        <v>20</v>
      </c>
      <c r="L1029" s="9">
        <v>45465</v>
      </c>
      <c r="M1029" s="9" t="str">
        <f>TEXT(Source_data[[#This Row],[Listing_Date]],"mmm-yy")</f>
        <v>Jun-24</v>
      </c>
      <c r="N1029" s="4">
        <f t="shared" si="16"/>
        <v>5971.3013140009061</v>
      </c>
      <c r="O1029" s="3" cm="1">
        <f t="array" ref="O1029">_xlfn.IFS(AND(K1029="Broker",J1029="Resale"),F1029*0.5,AND(K1029="Owner",J1029="Resale"),F1029*0,AND(K1029="Builder",J1029="Resale"),F1029*0.3,AND(J1029="New",K1029="Broker"),F1029*0.1,AND(J1029="New",K1029="Owner"),F1029*0,AND(J1029="New",K1029="Builder"),F1029*0.5)</f>
        <v>1317866.2000000002</v>
      </c>
    </row>
    <row r="1030" spans="1:15" x14ac:dyDescent="0.3">
      <c r="A1030" s="8" t="s">
        <v>1099</v>
      </c>
      <c r="B1030" s="4" t="s">
        <v>988</v>
      </c>
      <c r="C1030" s="4" t="s">
        <v>999</v>
      </c>
      <c r="D1030" s="4">
        <v>1</v>
      </c>
      <c r="E1030" s="4">
        <v>699</v>
      </c>
      <c r="F1030" s="4">
        <v>6005216</v>
      </c>
      <c r="G1030" s="4">
        <v>2</v>
      </c>
      <c r="H1030" s="4">
        <v>2</v>
      </c>
      <c r="I1030" s="4" t="s">
        <v>27</v>
      </c>
      <c r="J1030" s="4" t="s">
        <v>23</v>
      </c>
      <c r="K1030" s="4" t="s">
        <v>20</v>
      </c>
      <c r="L1030" s="9">
        <v>45610</v>
      </c>
      <c r="M1030" s="9" t="str">
        <f>TEXT(Source_data[[#This Row],[Listing_Date]],"mmm-yy")</f>
        <v>Nov-24</v>
      </c>
      <c r="N1030" s="4">
        <f t="shared" si="16"/>
        <v>8591.1530758226036</v>
      </c>
      <c r="O1030" s="3" cm="1">
        <f t="array" ref="O1030">_xlfn.IFS(AND(K1030="Broker",J1030="Resale"),F1030*0.5,AND(K1030="Owner",J1030="Resale"),F1030*0,AND(K1030="Builder",J1030="Resale"),F1030*0.3,AND(J1030="New",K1030="Broker"),F1030*0.1,AND(J1030="New",K1030="Owner"),F1030*0,AND(J1030="New",K1030="Builder"),F1030*0.5)</f>
        <v>3002608</v>
      </c>
    </row>
    <row r="1031" spans="1:15" x14ac:dyDescent="0.3">
      <c r="A1031" s="8" t="s">
        <v>1100</v>
      </c>
      <c r="B1031" s="4" t="s">
        <v>988</v>
      </c>
      <c r="C1031" s="4" t="s">
        <v>989</v>
      </c>
      <c r="D1031" s="4">
        <v>2</v>
      </c>
      <c r="E1031" s="4">
        <v>865</v>
      </c>
      <c r="F1031" s="4">
        <v>5724126</v>
      </c>
      <c r="G1031" s="4">
        <v>1</v>
      </c>
      <c r="H1031" s="4">
        <v>1</v>
      </c>
      <c r="I1031" s="4" t="s">
        <v>67</v>
      </c>
      <c r="J1031" s="4" t="s">
        <v>19</v>
      </c>
      <c r="K1031" s="4" t="s">
        <v>36</v>
      </c>
      <c r="L1031" s="9">
        <v>45173</v>
      </c>
      <c r="M1031" s="9" t="str">
        <f>TEXT(Source_data[[#This Row],[Listing_Date]],"mmm-yy")</f>
        <v>Sep-23</v>
      </c>
      <c r="N1031" s="4">
        <f t="shared" si="16"/>
        <v>6617.4867052023119</v>
      </c>
      <c r="O1031" s="3" cm="1">
        <f t="array" ref="O1031">_xlfn.IFS(AND(K1031="Broker",J1031="Resale"),F1031*0.5,AND(K1031="Owner",J1031="Resale"),F1031*0,AND(K1031="Builder",J1031="Resale"),F1031*0.3,AND(J1031="New",K1031="Broker"),F1031*0.1,AND(J1031="New",K1031="Owner"),F1031*0,AND(J1031="New",K1031="Builder"),F1031*0.5)</f>
        <v>0</v>
      </c>
    </row>
    <row r="1032" spans="1:15" x14ac:dyDescent="0.3">
      <c r="A1032" s="8" t="s">
        <v>1101</v>
      </c>
      <c r="B1032" s="4" t="s">
        <v>988</v>
      </c>
      <c r="C1032" s="4" t="s">
        <v>993</v>
      </c>
      <c r="D1032" s="4">
        <v>3</v>
      </c>
      <c r="E1032" s="4">
        <v>1931</v>
      </c>
      <c r="F1032" s="4">
        <v>12029080</v>
      </c>
      <c r="G1032" s="4">
        <v>3</v>
      </c>
      <c r="H1032" s="4">
        <v>0</v>
      </c>
      <c r="I1032" s="4" t="s">
        <v>27</v>
      </c>
      <c r="J1032" s="4" t="s">
        <v>23</v>
      </c>
      <c r="K1032" s="4" t="s">
        <v>36</v>
      </c>
      <c r="L1032" s="9">
        <v>45503</v>
      </c>
      <c r="M1032" s="9" t="str">
        <f>TEXT(Source_data[[#This Row],[Listing_Date]],"mmm-yy")</f>
        <v>Jul-24</v>
      </c>
      <c r="N1032" s="4">
        <f t="shared" si="16"/>
        <v>6229.4562402900056</v>
      </c>
      <c r="O1032" s="3" cm="1">
        <f t="array" ref="O1032">_xlfn.IFS(AND(K1032="Broker",J1032="Resale"),F1032*0.5,AND(K1032="Owner",J1032="Resale"),F1032*0,AND(K1032="Builder",J1032="Resale"),F1032*0.3,AND(J1032="New",K1032="Broker"),F1032*0.1,AND(J1032="New",K1032="Owner"),F1032*0,AND(J1032="New",K1032="Builder"),F1032*0.5)</f>
        <v>0</v>
      </c>
    </row>
    <row r="1033" spans="1:15" x14ac:dyDescent="0.3">
      <c r="A1033" s="8" t="s">
        <v>1102</v>
      </c>
      <c r="B1033" s="4" t="s">
        <v>988</v>
      </c>
      <c r="C1033" s="4" t="s">
        <v>991</v>
      </c>
      <c r="D1033" s="4">
        <v>3</v>
      </c>
      <c r="E1033" s="4">
        <v>1842</v>
      </c>
      <c r="F1033" s="4">
        <v>13058363</v>
      </c>
      <c r="G1033" s="4">
        <v>3</v>
      </c>
      <c r="H1033" s="4">
        <v>0</v>
      </c>
      <c r="I1033" s="4" t="s">
        <v>18</v>
      </c>
      <c r="J1033" s="4" t="s">
        <v>23</v>
      </c>
      <c r="K1033" s="4" t="s">
        <v>20</v>
      </c>
      <c r="L1033" s="9">
        <v>45543</v>
      </c>
      <c r="M1033" s="9" t="str">
        <f>TEXT(Source_data[[#This Row],[Listing_Date]],"mmm-yy")</f>
        <v>Sep-24</v>
      </c>
      <c r="N1033" s="4">
        <f t="shared" si="16"/>
        <v>7089.2307274701416</v>
      </c>
      <c r="O1033" s="3" cm="1">
        <f t="array" ref="O1033">_xlfn.IFS(AND(K1033="Broker",J1033="Resale"),F1033*0.5,AND(K1033="Owner",J1033="Resale"),F1033*0,AND(K1033="Builder",J1033="Resale"),F1033*0.3,AND(J1033="New",K1033="Broker"),F1033*0.1,AND(J1033="New",K1033="Owner"),F1033*0,AND(J1033="New",K1033="Builder"),F1033*0.5)</f>
        <v>6529181.5</v>
      </c>
    </row>
    <row r="1034" spans="1:15" x14ac:dyDescent="0.3">
      <c r="A1034" s="8" t="s">
        <v>1103</v>
      </c>
      <c r="B1034" s="4" t="s">
        <v>988</v>
      </c>
      <c r="C1034" s="4" t="s">
        <v>993</v>
      </c>
      <c r="D1034" s="4">
        <v>2</v>
      </c>
      <c r="E1034" s="4">
        <v>1239</v>
      </c>
      <c r="F1034" s="4">
        <v>7382984</v>
      </c>
      <c r="G1034" s="4">
        <v>1</v>
      </c>
      <c r="H1034" s="4">
        <v>2</v>
      </c>
      <c r="I1034" s="4" t="s">
        <v>18</v>
      </c>
      <c r="J1034" s="4" t="s">
        <v>23</v>
      </c>
      <c r="K1034" s="4" t="s">
        <v>20</v>
      </c>
      <c r="L1034" s="9">
        <v>45442</v>
      </c>
      <c r="M1034" s="9" t="str">
        <f>TEXT(Source_data[[#This Row],[Listing_Date]],"mmm-yy")</f>
        <v>May-24</v>
      </c>
      <c r="N1034" s="4">
        <f t="shared" si="16"/>
        <v>5958.8248587570624</v>
      </c>
      <c r="O1034" s="3" cm="1">
        <f t="array" ref="O1034">_xlfn.IFS(AND(K1034="Broker",J1034="Resale"),F1034*0.5,AND(K1034="Owner",J1034="Resale"),F1034*0,AND(K1034="Builder",J1034="Resale"),F1034*0.3,AND(J1034="New",K1034="Broker"),F1034*0.1,AND(J1034="New",K1034="Owner"),F1034*0,AND(J1034="New",K1034="Builder"),F1034*0.5)</f>
        <v>3691492</v>
      </c>
    </row>
    <row r="1035" spans="1:15" x14ac:dyDescent="0.3">
      <c r="A1035" s="8" t="s">
        <v>1104</v>
      </c>
      <c r="B1035" s="4" t="s">
        <v>988</v>
      </c>
      <c r="C1035" s="4" t="s">
        <v>989</v>
      </c>
      <c r="D1035" s="4">
        <v>1</v>
      </c>
      <c r="E1035" s="4">
        <v>465</v>
      </c>
      <c r="F1035" s="4">
        <v>9407039</v>
      </c>
      <c r="G1035" s="4">
        <v>1</v>
      </c>
      <c r="H1035" s="4">
        <v>1</v>
      </c>
      <c r="I1035" s="4" t="s">
        <v>18</v>
      </c>
      <c r="J1035" s="4" t="s">
        <v>19</v>
      </c>
      <c r="K1035" s="4" t="s">
        <v>20</v>
      </c>
      <c r="L1035" s="9">
        <v>45181</v>
      </c>
      <c r="M1035" s="9" t="str">
        <f>TEXT(Source_data[[#This Row],[Listing_Date]],"mmm-yy")</f>
        <v>Sep-23</v>
      </c>
      <c r="N1035" s="4">
        <f t="shared" si="16"/>
        <v>20230.191397849463</v>
      </c>
      <c r="O1035" s="3" cm="1">
        <f t="array" ref="O1035">_xlfn.IFS(AND(K1035="Broker",J1035="Resale"),F1035*0.5,AND(K1035="Owner",J1035="Resale"),F1035*0,AND(K1035="Builder",J1035="Resale"),F1035*0.3,AND(J1035="New",K1035="Broker"),F1035*0.1,AND(J1035="New",K1035="Owner"),F1035*0,AND(J1035="New",K1035="Builder"),F1035*0.5)</f>
        <v>940703.9</v>
      </c>
    </row>
    <row r="1036" spans="1:15" x14ac:dyDescent="0.3">
      <c r="A1036" s="8" t="s">
        <v>1105</v>
      </c>
      <c r="B1036" s="4" t="s">
        <v>988</v>
      </c>
      <c r="C1036" s="4" t="s">
        <v>993</v>
      </c>
      <c r="D1036" s="4">
        <v>1</v>
      </c>
      <c r="E1036" s="4">
        <v>558</v>
      </c>
      <c r="F1036" s="4">
        <v>5330846</v>
      </c>
      <c r="G1036" s="4">
        <v>1</v>
      </c>
      <c r="H1036" s="4">
        <v>2</v>
      </c>
      <c r="I1036" s="4" t="s">
        <v>18</v>
      </c>
      <c r="J1036" s="4" t="s">
        <v>23</v>
      </c>
      <c r="K1036" s="4" t="s">
        <v>20</v>
      </c>
      <c r="L1036" s="9">
        <v>45112</v>
      </c>
      <c r="M1036" s="9" t="str">
        <f>TEXT(Source_data[[#This Row],[Listing_Date]],"mmm-yy")</f>
        <v>Jul-23</v>
      </c>
      <c r="N1036" s="4">
        <f t="shared" si="16"/>
        <v>9553.4874551971334</v>
      </c>
      <c r="O1036" s="3" cm="1">
        <f t="array" ref="O1036">_xlfn.IFS(AND(K1036="Broker",J1036="Resale"),F1036*0.5,AND(K1036="Owner",J1036="Resale"),F1036*0,AND(K1036="Builder",J1036="Resale"),F1036*0.3,AND(J1036="New",K1036="Broker"),F1036*0.1,AND(J1036="New",K1036="Owner"),F1036*0,AND(J1036="New",K1036="Builder"),F1036*0.5)</f>
        <v>2665423</v>
      </c>
    </row>
    <row r="1037" spans="1:15" x14ac:dyDescent="0.3">
      <c r="A1037" s="8" t="s">
        <v>1106</v>
      </c>
      <c r="B1037" s="4" t="s">
        <v>988</v>
      </c>
      <c r="C1037" s="4" t="s">
        <v>1007</v>
      </c>
      <c r="D1037" s="4">
        <v>3</v>
      </c>
      <c r="E1037" s="4">
        <v>1364</v>
      </c>
      <c r="F1037" s="4">
        <v>9108867</v>
      </c>
      <c r="G1037" s="4">
        <v>3</v>
      </c>
      <c r="H1037" s="4">
        <v>2</v>
      </c>
      <c r="I1037" s="4" t="s">
        <v>27</v>
      </c>
      <c r="J1037" s="4" t="s">
        <v>23</v>
      </c>
      <c r="K1037" s="4" t="s">
        <v>36</v>
      </c>
      <c r="L1037" s="9">
        <v>45038</v>
      </c>
      <c r="M1037" s="9" t="str">
        <f>TEXT(Source_data[[#This Row],[Listing_Date]],"mmm-yy")</f>
        <v>Apr-23</v>
      </c>
      <c r="N1037" s="4">
        <f t="shared" si="16"/>
        <v>6678.0549853372431</v>
      </c>
      <c r="O1037" s="3" cm="1">
        <f t="array" ref="O1037">_xlfn.IFS(AND(K1037="Broker",J1037="Resale"),F1037*0.5,AND(K1037="Owner",J1037="Resale"),F1037*0,AND(K1037="Builder",J1037="Resale"),F1037*0.3,AND(J1037="New",K1037="Broker"),F1037*0.1,AND(J1037="New",K1037="Owner"),F1037*0,AND(J1037="New",K1037="Builder"),F1037*0.5)</f>
        <v>0</v>
      </c>
    </row>
    <row r="1038" spans="1:15" x14ac:dyDescent="0.3">
      <c r="A1038" s="8" t="s">
        <v>1107</v>
      </c>
      <c r="B1038" s="4" t="s">
        <v>988</v>
      </c>
      <c r="C1038" s="4" t="s">
        <v>991</v>
      </c>
      <c r="D1038" s="4">
        <v>3</v>
      </c>
      <c r="E1038" s="4">
        <v>1842</v>
      </c>
      <c r="F1038" s="4">
        <v>13058363</v>
      </c>
      <c r="G1038" s="4">
        <v>3</v>
      </c>
      <c r="H1038" s="4">
        <v>0</v>
      </c>
      <c r="I1038" s="4" t="s">
        <v>18</v>
      </c>
      <c r="J1038" s="4" t="s">
        <v>23</v>
      </c>
      <c r="K1038" s="4" t="s">
        <v>20</v>
      </c>
      <c r="L1038" s="9">
        <v>45543</v>
      </c>
      <c r="M1038" s="9" t="str">
        <f>TEXT(Source_data[[#This Row],[Listing_Date]],"mmm-yy")</f>
        <v>Sep-24</v>
      </c>
      <c r="N1038" s="4">
        <f t="shared" si="16"/>
        <v>7089.2307274701416</v>
      </c>
      <c r="O1038" s="3" cm="1">
        <f t="array" ref="O1038">_xlfn.IFS(AND(K1038="Broker",J1038="Resale"),F1038*0.5,AND(K1038="Owner",J1038="Resale"),F1038*0,AND(K1038="Builder",J1038="Resale"),F1038*0.3,AND(J1038="New",K1038="Broker"),F1038*0.1,AND(J1038="New",K1038="Owner"),F1038*0,AND(J1038="New",K1038="Builder"),F1038*0.5)</f>
        <v>6529181.5</v>
      </c>
    </row>
    <row r="1039" spans="1:15" x14ac:dyDescent="0.3">
      <c r="A1039" s="8" t="s">
        <v>1108</v>
      </c>
      <c r="B1039" s="4" t="s">
        <v>988</v>
      </c>
      <c r="C1039" s="4" t="s">
        <v>993</v>
      </c>
      <c r="D1039" s="4">
        <v>4</v>
      </c>
      <c r="E1039" s="4">
        <v>1228</v>
      </c>
      <c r="F1039" s="4">
        <v>10220030</v>
      </c>
      <c r="G1039" s="4">
        <v>3</v>
      </c>
      <c r="H1039" s="4">
        <v>2</v>
      </c>
      <c r="I1039" s="4" t="s">
        <v>8</v>
      </c>
      <c r="J1039" s="4" t="s">
        <v>19</v>
      </c>
      <c r="K1039" s="4" t="s">
        <v>36</v>
      </c>
      <c r="L1039" s="9">
        <v>45549</v>
      </c>
      <c r="M1039" s="9" t="str">
        <f>TEXT(Source_data[[#This Row],[Listing_Date]],"mmm-yy")</f>
        <v>Sep-24</v>
      </c>
      <c r="N1039" s="4">
        <f t="shared" si="16"/>
        <v>8322.5</v>
      </c>
      <c r="O1039" s="3" cm="1">
        <f t="array" ref="O1039">_xlfn.IFS(AND(K1039="Broker",J1039="Resale"),F1039*0.5,AND(K1039="Owner",J1039="Resale"),F1039*0,AND(K1039="Builder",J1039="Resale"),F1039*0.3,AND(J1039="New",K1039="Broker"),F1039*0.1,AND(J1039="New",K1039="Owner"),F1039*0,AND(J1039="New",K1039="Builder"),F1039*0.5)</f>
        <v>0</v>
      </c>
    </row>
    <row r="1040" spans="1:15" x14ac:dyDescent="0.3">
      <c r="A1040" s="8" t="s">
        <v>1109</v>
      </c>
      <c r="B1040" s="4" t="s">
        <v>988</v>
      </c>
      <c r="C1040" s="4" t="s">
        <v>989</v>
      </c>
      <c r="D1040" s="4">
        <v>3</v>
      </c>
      <c r="E1040" s="4">
        <v>1126</v>
      </c>
      <c r="F1040" s="4">
        <v>10415681</v>
      </c>
      <c r="G1040" s="4">
        <v>3</v>
      </c>
      <c r="H1040" s="4">
        <v>4</v>
      </c>
      <c r="I1040" s="4" t="s">
        <v>8</v>
      </c>
      <c r="J1040" s="4" t="s">
        <v>23</v>
      </c>
      <c r="K1040" s="4" t="s">
        <v>20</v>
      </c>
      <c r="L1040" s="9">
        <v>45539</v>
      </c>
      <c r="M1040" s="9" t="str">
        <f>TEXT(Source_data[[#This Row],[Listing_Date]],"mmm-yy")</f>
        <v>Sep-24</v>
      </c>
      <c r="N1040" s="4">
        <f t="shared" si="16"/>
        <v>9250.160746003552</v>
      </c>
      <c r="O1040" s="3" cm="1">
        <f t="array" ref="O1040">_xlfn.IFS(AND(K1040="Broker",J1040="Resale"),F1040*0.5,AND(K1040="Owner",J1040="Resale"),F1040*0,AND(K1040="Builder",J1040="Resale"),F1040*0.3,AND(J1040="New",K1040="Broker"),F1040*0.1,AND(J1040="New",K1040="Owner"),F1040*0,AND(J1040="New",K1040="Builder"),F1040*0.5)</f>
        <v>5207840.5</v>
      </c>
    </row>
    <row r="1041" spans="1:15" x14ac:dyDescent="0.3">
      <c r="A1041" s="8" t="s">
        <v>1110</v>
      </c>
      <c r="B1041" s="4" t="s">
        <v>988</v>
      </c>
      <c r="C1041" s="4" t="s">
        <v>989</v>
      </c>
      <c r="D1041" s="4">
        <v>2</v>
      </c>
      <c r="E1041" s="4">
        <v>943</v>
      </c>
      <c r="F1041" s="4">
        <v>8206334</v>
      </c>
      <c r="G1041" s="4">
        <v>2</v>
      </c>
      <c r="H1041" s="4">
        <v>2</v>
      </c>
      <c r="I1041" s="4" t="s">
        <v>27</v>
      </c>
      <c r="J1041" s="4" t="s">
        <v>19</v>
      </c>
      <c r="K1041" s="4" t="s">
        <v>24</v>
      </c>
      <c r="L1041" s="9">
        <v>45458</v>
      </c>
      <c r="M1041" s="9" t="str">
        <f>TEXT(Source_data[[#This Row],[Listing_Date]],"mmm-yy")</f>
        <v>Jun-24</v>
      </c>
      <c r="N1041" s="4">
        <f t="shared" si="16"/>
        <v>8702.3690349946974</v>
      </c>
      <c r="O1041" s="3" cm="1">
        <f t="array" ref="O1041">_xlfn.IFS(AND(K1041="Broker",J1041="Resale"),F1041*0.5,AND(K1041="Owner",J1041="Resale"),F1041*0,AND(K1041="Builder",J1041="Resale"),F1041*0.3,AND(J1041="New",K1041="Broker"),F1041*0.1,AND(J1041="New",K1041="Owner"),F1041*0,AND(J1041="New",K1041="Builder"),F1041*0.5)</f>
        <v>4103167</v>
      </c>
    </row>
    <row r="1042" spans="1:15" x14ac:dyDescent="0.3">
      <c r="A1042" s="8" t="s">
        <v>1111</v>
      </c>
      <c r="B1042" s="4" t="s">
        <v>988</v>
      </c>
      <c r="C1042" s="4" t="s">
        <v>1007</v>
      </c>
      <c r="D1042" s="4">
        <v>2</v>
      </c>
      <c r="E1042" s="4">
        <v>965</v>
      </c>
      <c r="F1042" s="4">
        <v>6284930</v>
      </c>
      <c r="G1042" s="4">
        <v>1</v>
      </c>
      <c r="H1042" s="4">
        <v>0</v>
      </c>
      <c r="I1042" s="4" t="s">
        <v>27</v>
      </c>
      <c r="J1042" s="4" t="s">
        <v>19</v>
      </c>
      <c r="K1042" s="4" t="s">
        <v>24</v>
      </c>
      <c r="L1042" s="9">
        <v>45150</v>
      </c>
      <c r="M1042" s="9" t="str">
        <f>TEXT(Source_data[[#This Row],[Listing_Date]],"mmm-yy")</f>
        <v>Aug-23</v>
      </c>
      <c r="N1042" s="4">
        <f t="shared" si="16"/>
        <v>6512.8808290155439</v>
      </c>
      <c r="O1042" s="3" cm="1">
        <f t="array" ref="O1042">_xlfn.IFS(AND(K1042="Broker",J1042="Resale"),F1042*0.5,AND(K1042="Owner",J1042="Resale"),F1042*0,AND(K1042="Builder",J1042="Resale"),F1042*0.3,AND(J1042="New",K1042="Broker"),F1042*0.1,AND(J1042="New",K1042="Owner"),F1042*0,AND(J1042="New",K1042="Builder"),F1042*0.5)</f>
        <v>3142465</v>
      </c>
    </row>
    <row r="1043" spans="1:15" x14ac:dyDescent="0.3">
      <c r="A1043" s="8" t="s">
        <v>1112</v>
      </c>
      <c r="B1043" s="4" t="s">
        <v>988</v>
      </c>
      <c r="C1043" s="4" t="s">
        <v>991</v>
      </c>
      <c r="D1043" s="4">
        <v>1</v>
      </c>
      <c r="E1043" s="4">
        <v>413</v>
      </c>
      <c r="F1043" s="4">
        <v>4072620</v>
      </c>
      <c r="G1043" s="4">
        <v>1</v>
      </c>
      <c r="H1043" s="4">
        <v>2</v>
      </c>
      <c r="I1043" s="4" t="s">
        <v>8</v>
      </c>
      <c r="J1043" s="4" t="s">
        <v>23</v>
      </c>
      <c r="K1043" s="4" t="s">
        <v>36</v>
      </c>
      <c r="L1043" s="9">
        <v>44954</v>
      </c>
      <c r="M1043" s="9" t="str">
        <f>TEXT(Source_data[[#This Row],[Listing_Date]],"mmm-yy")</f>
        <v>Jan-23</v>
      </c>
      <c r="N1043" s="4">
        <f t="shared" si="16"/>
        <v>9861.0653753026636</v>
      </c>
      <c r="O1043" s="3" cm="1">
        <f t="array" ref="O1043">_xlfn.IFS(AND(K1043="Broker",J1043="Resale"),F1043*0.5,AND(K1043="Owner",J1043="Resale"),F1043*0,AND(K1043="Builder",J1043="Resale"),F1043*0.3,AND(J1043="New",K1043="Broker"),F1043*0.1,AND(J1043="New",K1043="Owner"),F1043*0,AND(J1043="New",K1043="Builder"),F1043*0.5)</f>
        <v>0</v>
      </c>
    </row>
    <row r="1044" spans="1:15" x14ac:dyDescent="0.3">
      <c r="A1044" s="8" t="s">
        <v>1113</v>
      </c>
      <c r="B1044" s="4" t="s">
        <v>988</v>
      </c>
      <c r="C1044" s="4" t="s">
        <v>989</v>
      </c>
      <c r="D1044" s="4">
        <v>1</v>
      </c>
      <c r="E1044" s="4">
        <v>350</v>
      </c>
      <c r="F1044" s="4">
        <v>2533670</v>
      </c>
      <c r="G1044" s="4">
        <v>1</v>
      </c>
      <c r="H1044" s="4">
        <v>0</v>
      </c>
      <c r="I1044" s="4" t="s">
        <v>8</v>
      </c>
      <c r="J1044" s="4" t="s">
        <v>19</v>
      </c>
      <c r="K1044" s="4" t="s">
        <v>36</v>
      </c>
      <c r="L1044" s="9">
        <v>45041</v>
      </c>
      <c r="M1044" s="9" t="str">
        <f>TEXT(Source_data[[#This Row],[Listing_Date]],"mmm-yy")</f>
        <v>Apr-23</v>
      </c>
      <c r="N1044" s="4">
        <f t="shared" si="16"/>
        <v>7239.0571428571429</v>
      </c>
      <c r="O1044" s="3" cm="1">
        <f t="array" ref="O1044">_xlfn.IFS(AND(K1044="Broker",J1044="Resale"),F1044*0.5,AND(K1044="Owner",J1044="Resale"),F1044*0,AND(K1044="Builder",J1044="Resale"),F1044*0.3,AND(J1044="New",K1044="Broker"),F1044*0.1,AND(J1044="New",K1044="Owner"),F1044*0,AND(J1044="New",K1044="Builder"),F1044*0.5)</f>
        <v>0</v>
      </c>
    </row>
    <row r="1045" spans="1:15" x14ac:dyDescent="0.3">
      <c r="A1045" s="8" t="s">
        <v>1114</v>
      </c>
      <c r="B1045" s="4" t="s">
        <v>988</v>
      </c>
      <c r="C1045" s="4" t="s">
        <v>999</v>
      </c>
      <c r="D1045" s="4">
        <v>1</v>
      </c>
      <c r="E1045" s="4">
        <v>742</v>
      </c>
      <c r="F1045" s="4">
        <v>5679823</v>
      </c>
      <c r="G1045" s="4">
        <v>1</v>
      </c>
      <c r="H1045" s="4">
        <v>0</v>
      </c>
      <c r="I1045" s="4" t="s">
        <v>27</v>
      </c>
      <c r="J1045" s="4" t="s">
        <v>19</v>
      </c>
      <c r="K1045" s="4" t="s">
        <v>36</v>
      </c>
      <c r="L1045" s="9">
        <v>45333</v>
      </c>
      <c r="M1045" s="9" t="str">
        <f>TEXT(Source_data[[#This Row],[Listing_Date]],"mmm-yy")</f>
        <v>Feb-24</v>
      </c>
      <c r="N1045" s="4">
        <f t="shared" si="16"/>
        <v>7654.7479784366578</v>
      </c>
      <c r="O1045" s="3" cm="1">
        <f t="array" ref="O1045">_xlfn.IFS(AND(K1045="Broker",J1045="Resale"),F1045*0.5,AND(K1045="Owner",J1045="Resale"),F1045*0,AND(K1045="Builder",J1045="Resale"),F1045*0.3,AND(J1045="New",K1045="Broker"),F1045*0.1,AND(J1045="New",K1045="Owner"),F1045*0,AND(J1045="New",K1045="Builder"),F1045*0.5)</f>
        <v>0</v>
      </c>
    </row>
    <row r="1046" spans="1:15" x14ac:dyDescent="0.3">
      <c r="A1046" s="8" t="s">
        <v>1115</v>
      </c>
      <c r="B1046" s="4" t="s">
        <v>988</v>
      </c>
      <c r="C1046" s="4" t="s">
        <v>993</v>
      </c>
      <c r="D1046" s="4">
        <v>2</v>
      </c>
      <c r="E1046" s="4">
        <v>1275</v>
      </c>
      <c r="F1046" s="4">
        <v>10192171</v>
      </c>
      <c r="G1046" s="4">
        <v>1</v>
      </c>
      <c r="H1046" s="4">
        <v>1</v>
      </c>
      <c r="I1046" s="4" t="s">
        <v>18</v>
      </c>
      <c r="J1046" s="4" t="s">
        <v>23</v>
      </c>
      <c r="K1046" s="4" t="s">
        <v>24</v>
      </c>
      <c r="L1046" s="9">
        <v>45851</v>
      </c>
      <c r="M1046" s="9" t="str">
        <f>TEXT(Source_data[[#This Row],[Listing_Date]],"mmm-yy")</f>
        <v>Jul-25</v>
      </c>
      <c r="N1046" s="4">
        <f t="shared" si="16"/>
        <v>7993.8596078431374</v>
      </c>
      <c r="O1046" s="3" cm="1">
        <f t="array" ref="O1046">_xlfn.IFS(AND(K1046="Broker",J1046="Resale"),F1046*0.5,AND(K1046="Owner",J1046="Resale"),F1046*0,AND(K1046="Builder",J1046="Resale"),F1046*0.3,AND(J1046="New",K1046="Broker"),F1046*0.1,AND(J1046="New",K1046="Owner"),F1046*0,AND(J1046="New",K1046="Builder"),F1046*0.5)</f>
        <v>3057651.3</v>
      </c>
    </row>
    <row r="1047" spans="1:15" x14ac:dyDescent="0.3">
      <c r="A1047" s="8" t="s">
        <v>1116</v>
      </c>
      <c r="B1047" s="4" t="s">
        <v>988</v>
      </c>
      <c r="C1047" s="4" t="s">
        <v>993</v>
      </c>
      <c r="D1047" s="4">
        <v>4</v>
      </c>
      <c r="E1047" s="4">
        <v>1697</v>
      </c>
      <c r="F1047" s="4">
        <v>14101246</v>
      </c>
      <c r="G1047" s="4">
        <v>3</v>
      </c>
      <c r="H1047" s="4">
        <v>1</v>
      </c>
      <c r="I1047" s="4" t="s">
        <v>27</v>
      </c>
      <c r="J1047" s="4" t="s">
        <v>23</v>
      </c>
      <c r="K1047" s="4" t="s">
        <v>20</v>
      </c>
      <c r="L1047" s="9">
        <v>45730</v>
      </c>
      <c r="M1047" s="9" t="str">
        <f>TEXT(Source_data[[#This Row],[Listing_Date]],"mmm-yy")</f>
        <v>Mar-25</v>
      </c>
      <c r="N1047" s="4">
        <f t="shared" si="16"/>
        <v>8309.5144372421928</v>
      </c>
      <c r="O1047" s="3" cm="1">
        <f t="array" ref="O1047">_xlfn.IFS(AND(K1047="Broker",J1047="Resale"),F1047*0.5,AND(K1047="Owner",J1047="Resale"),F1047*0,AND(K1047="Builder",J1047="Resale"),F1047*0.3,AND(J1047="New",K1047="Broker"),F1047*0.1,AND(J1047="New",K1047="Owner"),F1047*0,AND(J1047="New",K1047="Builder"),F1047*0.5)</f>
        <v>7050623</v>
      </c>
    </row>
    <row r="1048" spans="1:15" x14ac:dyDescent="0.3">
      <c r="A1048" s="8" t="s">
        <v>1117</v>
      </c>
      <c r="B1048" s="4" t="s">
        <v>988</v>
      </c>
      <c r="C1048" s="4" t="s">
        <v>993</v>
      </c>
      <c r="D1048" s="4">
        <v>3</v>
      </c>
      <c r="E1048" s="4">
        <v>1513</v>
      </c>
      <c r="F1048" s="4">
        <v>11984006</v>
      </c>
      <c r="G1048" s="4">
        <v>3</v>
      </c>
      <c r="H1048" s="4">
        <v>1</v>
      </c>
      <c r="I1048" s="4" t="s">
        <v>27</v>
      </c>
      <c r="J1048" s="4" t="s">
        <v>23</v>
      </c>
      <c r="K1048" s="4" t="s">
        <v>24</v>
      </c>
      <c r="L1048" s="9">
        <v>44982</v>
      </c>
      <c r="M1048" s="9" t="str">
        <f>TEXT(Source_data[[#This Row],[Listing_Date]],"mmm-yy")</f>
        <v>Feb-23</v>
      </c>
      <c r="N1048" s="4">
        <f t="shared" si="16"/>
        <v>7920.691341705221</v>
      </c>
      <c r="O1048" s="3" cm="1">
        <f t="array" ref="O1048">_xlfn.IFS(AND(K1048="Broker",J1048="Resale"),F1048*0.5,AND(K1048="Owner",J1048="Resale"),F1048*0,AND(K1048="Builder",J1048="Resale"),F1048*0.3,AND(J1048="New",K1048="Broker"),F1048*0.1,AND(J1048="New",K1048="Owner"),F1048*0,AND(J1048="New",K1048="Builder"),F1048*0.5)</f>
        <v>3595201.8</v>
      </c>
    </row>
    <row r="1049" spans="1:15" x14ac:dyDescent="0.3">
      <c r="A1049" s="8" t="s">
        <v>1118</v>
      </c>
      <c r="B1049" s="4" t="s">
        <v>988</v>
      </c>
      <c r="C1049" s="4" t="s">
        <v>995</v>
      </c>
      <c r="D1049" s="4">
        <v>1</v>
      </c>
      <c r="E1049" s="4">
        <v>464</v>
      </c>
      <c r="F1049" s="4">
        <v>4171394</v>
      </c>
      <c r="G1049" s="4">
        <v>1</v>
      </c>
      <c r="H1049" s="4">
        <v>3</v>
      </c>
      <c r="I1049" s="4" t="s">
        <v>18</v>
      </c>
      <c r="J1049" s="4" t="s">
        <v>19</v>
      </c>
      <c r="K1049" s="4" t="s">
        <v>36</v>
      </c>
      <c r="L1049" s="9">
        <v>45353</v>
      </c>
      <c r="M1049" s="9" t="str">
        <f>TEXT(Source_data[[#This Row],[Listing_Date]],"mmm-yy")</f>
        <v>Mar-24</v>
      </c>
      <c r="N1049" s="4">
        <f t="shared" si="16"/>
        <v>8990.0732758620688</v>
      </c>
      <c r="O1049" s="3" cm="1">
        <f t="array" ref="O1049">_xlfn.IFS(AND(K1049="Broker",J1049="Resale"),F1049*0.5,AND(K1049="Owner",J1049="Resale"),F1049*0,AND(K1049="Builder",J1049="Resale"),F1049*0.3,AND(J1049="New",K1049="Broker"),F1049*0.1,AND(J1049="New",K1049="Owner"),F1049*0,AND(J1049="New",K1049="Builder"),F1049*0.5)</f>
        <v>0</v>
      </c>
    </row>
    <row r="1050" spans="1:15" x14ac:dyDescent="0.3">
      <c r="A1050" s="8" t="s">
        <v>1119</v>
      </c>
      <c r="B1050" s="4" t="s">
        <v>988</v>
      </c>
      <c r="C1050" s="4" t="s">
        <v>1007</v>
      </c>
      <c r="D1050" s="4">
        <v>4</v>
      </c>
      <c r="E1050" s="4">
        <v>1919</v>
      </c>
      <c r="F1050" s="4">
        <v>13139642</v>
      </c>
      <c r="G1050" s="4">
        <v>4</v>
      </c>
      <c r="H1050" s="4">
        <v>2</v>
      </c>
      <c r="I1050" s="4" t="s">
        <v>27</v>
      </c>
      <c r="J1050" s="4" t="s">
        <v>19</v>
      </c>
      <c r="K1050" s="4" t="s">
        <v>36</v>
      </c>
      <c r="L1050" s="9">
        <v>45374</v>
      </c>
      <c r="M1050" s="9" t="str">
        <f>TEXT(Source_data[[#This Row],[Listing_Date]],"mmm-yy")</f>
        <v>Mar-24</v>
      </c>
      <c r="N1050" s="4">
        <f t="shared" si="16"/>
        <v>6847.1297550807712</v>
      </c>
      <c r="O1050" s="3" cm="1">
        <f t="array" ref="O1050">_xlfn.IFS(AND(K1050="Broker",J1050="Resale"),F1050*0.5,AND(K1050="Owner",J1050="Resale"),F1050*0,AND(K1050="Builder",J1050="Resale"),F1050*0.3,AND(J1050="New",K1050="Broker"),F1050*0.1,AND(J1050="New",K1050="Owner"),F1050*0,AND(J1050="New",K1050="Builder"),F1050*0.5)</f>
        <v>0</v>
      </c>
    </row>
    <row r="1051" spans="1:15" x14ac:dyDescent="0.3">
      <c r="A1051" s="8" t="s">
        <v>1120</v>
      </c>
      <c r="B1051" s="4" t="s">
        <v>988</v>
      </c>
      <c r="C1051" s="4" t="s">
        <v>995</v>
      </c>
      <c r="D1051" s="4">
        <v>3</v>
      </c>
      <c r="E1051" s="4">
        <v>2280</v>
      </c>
      <c r="F1051" s="4">
        <v>14651595</v>
      </c>
      <c r="G1051" s="4">
        <v>2</v>
      </c>
      <c r="H1051" s="4">
        <v>2</v>
      </c>
      <c r="I1051" s="4" t="s">
        <v>8</v>
      </c>
      <c r="J1051" s="4" t="s">
        <v>19</v>
      </c>
      <c r="K1051" s="4" t="s">
        <v>24</v>
      </c>
      <c r="L1051" s="9">
        <v>45521</v>
      </c>
      <c r="M1051" s="9" t="str">
        <f>TEXT(Source_data[[#This Row],[Listing_Date]],"mmm-yy")</f>
        <v>Aug-24</v>
      </c>
      <c r="N1051" s="4">
        <f t="shared" si="16"/>
        <v>6426.1381578947367</v>
      </c>
      <c r="O1051" s="3" cm="1">
        <f t="array" ref="O1051">_xlfn.IFS(AND(K1051="Broker",J1051="Resale"),F1051*0.5,AND(K1051="Owner",J1051="Resale"),F1051*0,AND(K1051="Builder",J1051="Resale"),F1051*0.3,AND(J1051="New",K1051="Broker"),F1051*0.1,AND(J1051="New",K1051="Owner"),F1051*0,AND(J1051="New",K1051="Builder"),F1051*0.5)</f>
        <v>7325797.5</v>
      </c>
    </row>
    <row r="1052" spans="1:15" x14ac:dyDescent="0.3">
      <c r="A1052" s="8" t="s">
        <v>1121</v>
      </c>
      <c r="B1052" s="4" t="s">
        <v>988</v>
      </c>
      <c r="C1052" s="4" t="s">
        <v>991</v>
      </c>
      <c r="D1052" s="4">
        <v>3</v>
      </c>
      <c r="E1052" s="4">
        <v>1495</v>
      </c>
      <c r="F1052" s="4">
        <v>10217342</v>
      </c>
      <c r="G1052" s="4">
        <v>2</v>
      </c>
      <c r="H1052" s="4">
        <v>2</v>
      </c>
      <c r="I1052" s="4" t="s">
        <v>8</v>
      </c>
      <c r="J1052" s="4" t="s">
        <v>23</v>
      </c>
      <c r="K1052" s="4" t="s">
        <v>20</v>
      </c>
      <c r="L1052" s="9">
        <v>45431</v>
      </c>
      <c r="M1052" s="9" t="str">
        <f>TEXT(Source_data[[#This Row],[Listing_Date]],"mmm-yy")</f>
        <v>May-24</v>
      </c>
      <c r="N1052" s="4">
        <f t="shared" si="16"/>
        <v>6834.3424749163878</v>
      </c>
      <c r="O1052" s="3" cm="1">
        <f t="array" ref="O1052">_xlfn.IFS(AND(K1052="Broker",J1052="Resale"),F1052*0.5,AND(K1052="Owner",J1052="Resale"),F1052*0,AND(K1052="Builder",J1052="Resale"),F1052*0.3,AND(J1052="New",K1052="Broker"),F1052*0.1,AND(J1052="New",K1052="Owner"),F1052*0,AND(J1052="New",K1052="Builder"),F1052*0.5)</f>
        <v>5108671</v>
      </c>
    </row>
    <row r="1053" spans="1:15" x14ac:dyDescent="0.3">
      <c r="A1053" s="8" t="s">
        <v>1122</v>
      </c>
      <c r="B1053" s="4" t="s">
        <v>988</v>
      </c>
      <c r="C1053" s="4" t="s">
        <v>989</v>
      </c>
      <c r="D1053" s="4">
        <v>3</v>
      </c>
      <c r="E1053" s="4">
        <v>962</v>
      </c>
      <c r="F1053" s="4">
        <v>7414041</v>
      </c>
      <c r="G1053" s="4">
        <v>3</v>
      </c>
      <c r="H1053" s="4">
        <v>1</v>
      </c>
      <c r="I1053" s="4" t="s">
        <v>18</v>
      </c>
      <c r="J1053" s="4" t="s">
        <v>23</v>
      </c>
      <c r="K1053" s="4" t="s">
        <v>24</v>
      </c>
      <c r="L1053" s="9">
        <v>45078</v>
      </c>
      <c r="M1053" s="9" t="str">
        <f>TEXT(Source_data[[#This Row],[Listing_Date]],"mmm-yy")</f>
        <v>Jun-23</v>
      </c>
      <c r="N1053" s="4">
        <f t="shared" si="16"/>
        <v>7706.903326403326</v>
      </c>
      <c r="O1053" s="3" cm="1">
        <f t="array" ref="O1053">_xlfn.IFS(AND(K1053="Broker",J1053="Resale"),F1053*0.5,AND(K1053="Owner",J1053="Resale"),F1053*0,AND(K1053="Builder",J1053="Resale"),F1053*0.3,AND(J1053="New",K1053="Broker"),F1053*0.1,AND(J1053="New",K1053="Owner"),F1053*0,AND(J1053="New",K1053="Builder"),F1053*0.5)</f>
        <v>2224212.2999999998</v>
      </c>
    </row>
    <row r="1054" spans="1:15" x14ac:dyDescent="0.3">
      <c r="A1054" s="8" t="s">
        <v>1123</v>
      </c>
      <c r="B1054" s="4" t="s">
        <v>988</v>
      </c>
      <c r="C1054" s="4" t="s">
        <v>993</v>
      </c>
      <c r="D1054" s="4">
        <v>3</v>
      </c>
      <c r="E1054" s="4">
        <v>1155</v>
      </c>
      <c r="F1054" s="4">
        <v>6479835</v>
      </c>
      <c r="G1054" s="4">
        <v>3</v>
      </c>
      <c r="H1054" s="4">
        <v>2</v>
      </c>
      <c r="I1054" s="4" t="s">
        <v>27</v>
      </c>
      <c r="J1054" s="4" t="s">
        <v>19</v>
      </c>
      <c r="K1054" s="4" t="s">
        <v>36</v>
      </c>
      <c r="L1054" s="9">
        <v>44962</v>
      </c>
      <c r="M1054" s="9" t="str">
        <f>TEXT(Source_data[[#This Row],[Listing_Date]],"mmm-yy")</f>
        <v>Feb-23</v>
      </c>
      <c r="N1054" s="4">
        <f t="shared" si="16"/>
        <v>5610.2467532467535</v>
      </c>
      <c r="O1054" s="3" cm="1">
        <f t="array" ref="O1054">_xlfn.IFS(AND(K1054="Broker",J1054="Resale"),F1054*0.5,AND(K1054="Owner",J1054="Resale"),F1054*0,AND(K1054="Builder",J1054="Resale"),F1054*0.3,AND(J1054="New",K1054="Broker"),F1054*0.1,AND(J1054="New",K1054="Owner"),F1054*0,AND(J1054="New",K1054="Builder"),F1054*0.5)</f>
        <v>0</v>
      </c>
    </row>
    <row r="1055" spans="1:15" x14ac:dyDescent="0.3">
      <c r="A1055" s="8" t="s">
        <v>1124</v>
      </c>
      <c r="B1055" s="4" t="s">
        <v>988</v>
      </c>
      <c r="C1055" s="4" t="s">
        <v>989</v>
      </c>
      <c r="D1055" s="4">
        <v>3</v>
      </c>
      <c r="E1055" s="4">
        <v>1225</v>
      </c>
      <c r="F1055" s="4">
        <v>7780019</v>
      </c>
      <c r="G1055" s="4">
        <v>2</v>
      </c>
      <c r="H1055" s="4">
        <v>1</v>
      </c>
      <c r="I1055" s="4" t="s">
        <v>18</v>
      </c>
      <c r="J1055" s="4" t="s">
        <v>19</v>
      </c>
      <c r="K1055" s="4" t="s">
        <v>36</v>
      </c>
      <c r="L1055" s="9">
        <v>45475</v>
      </c>
      <c r="M1055" s="9" t="str">
        <f>TEXT(Source_data[[#This Row],[Listing_Date]],"mmm-yy")</f>
        <v>Jul-24</v>
      </c>
      <c r="N1055" s="4">
        <f t="shared" si="16"/>
        <v>6351.0359183673472</v>
      </c>
      <c r="O1055" s="3" cm="1">
        <f t="array" ref="O1055">_xlfn.IFS(AND(K1055="Broker",J1055="Resale"),F1055*0.5,AND(K1055="Owner",J1055="Resale"),F1055*0,AND(K1055="Builder",J1055="Resale"),F1055*0.3,AND(J1055="New",K1055="Broker"),F1055*0.1,AND(J1055="New",K1055="Owner"),F1055*0,AND(J1055="New",K1055="Builder"),F1055*0.5)</f>
        <v>0</v>
      </c>
    </row>
    <row r="1056" spans="1:15" x14ac:dyDescent="0.3">
      <c r="A1056" s="8" t="s">
        <v>1125</v>
      </c>
      <c r="B1056" s="4" t="s">
        <v>988</v>
      </c>
      <c r="C1056" s="4" t="s">
        <v>999</v>
      </c>
      <c r="D1056" s="4">
        <v>4</v>
      </c>
      <c r="E1056" s="4">
        <v>1442</v>
      </c>
      <c r="F1056" s="4">
        <v>12297005</v>
      </c>
      <c r="G1056" s="4">
        <v>2</v>
      </c>
      <c r="H1056" s="4">
        <v>4</v>
      </c>
      <c r="I1056" s="4" t="s">
        <v>27</v>
      </c>
      <c r="J1056" s="4" t="s">
        <v>23</v>
      </c>
      <c r="K1056" s="4" t="s">
        <v>20</v>
      </c>
      <c r="L1056" s="9">
        <v>44983</v>
      </c>
      <c r="M1056" s="9" t="str">
        <f>TEXT(Source_data[[#This Row],[Listing_Date]],"mmm-yy")</f>
        <v>Feb-23</v>
      </c>
      <c r="N1056" s="4">
        <f t="shared" si="16"/>
        <v>8527.7427184466014</v>
      </c>
      <c r="O1056" s="3" cm="1">
        <f t="array" ref="O1056">_xlfn.IFS(AND(K1056="Broker",J1056="Resale"),F1056*0.5,AND(K1056="Owner",J1056="Resale"),F1056*0,AND(K1056="Builder",J1056="Resale"),F1056*0.3,AND(J1056="New",K1056="Broker"),F1056*0.1,AND(J1056="New",K1056="Owner"),F1056*0,AND(J1056="New",K1056="Builder"),F1056*0.5)</f>
        <v>6148502.5</v>
      </c>
    </row>
    <row r="1057" spans="1:15" x14ac:dyDescent="0.3">
      <c r="A1057" s="8" t="s">
        <v>1126</v>
      </c>
      <c r="B1057" s="4" t="s">
        <v>988</v>
      </c>
      <c r="C1057" s="4" t="s">
        <v>991</v>
      </c>
      <c r="D1057" s="4">
        <v>3</v>
      </c>
      <c r="E1057" s="4">
        <v>1712</v>
      </c>
      <c r="F1057" s="4">
        <v>15360109</v>
      </c>
      <c r="G1057" s="4">
        <v>3</v>
      </c>
      <c r="H1057" s="4">
        <v>1</v>
      </c>
      <c r="I1057" s="4" t="s">
        <v>27</v>
      </c>
      <c r="J1057" s="4" t="s">
        <v>19</v>
      </c>
      <c r="K1057" s="4" t="s">
        <v>20</v>
      </c>
      <c r="L1057" s="9">
        <v>45839</v>
      </c>
      <c r="M1057" s="9" t="str">
        <f>TEXT(Source_data[[#This Row],[Listing_Date]],"mmm-yy")</f>
        <v>Jul-25</v>
      </c>
      <c r="N1057" s="4">
        <f t="shared" si="16"/>
        <v>8972.0262850467298</v>
      </c>
      <c r="O1057" s="3" cm="1">
        <f t="array" ref="O1057">_xlfn.IFS(AND(K1057="Broker",J1057="Resale"),F1057*0.5,AND(K1057="Owner",J1057="Resale"),F1057*0,AND(K1057="Builder",J1057="Resale"),F1057*0.3,AND(J1057="New",K1057="Broker"),F1057*0.1,AND(J1057="New",K1057="Owner"),F1057*0,AND(J1057="New",K1057="Builder"),F1057*0.5)</f>
        <v>1536010.9000000001</v>
      </c>
    </row>
    <row r="1058" spans="1:15" x14ac:dyDescent="0.3">
      <c r="A1058" s="8" t="s">
        <v>1127</v>
      </c>
      <c r="B1058" s="4" t="s">
        <v>988</v>
      </c>
      <c r="C1058" s="4" t="s">
        <v>995</v>
      </c>
      <c r="D1058" s="4">
        <v>1</v>
      </c>
      <c r="E1058" s="4">
        <v>1204</v>
      </c>
      <c r="F1058" s="4">
        <v>4036322</v>
      </c>
      <c r="G1058" s="4">
        <v>2</v>
      </c>
      <c r="H1058" s="4">
        <v>2</v>
      </c>
      <c r="I1058" s="4" t="s">
        <v>8</v>
      </c>
      <c r="J1058" s="4" t="s">
        <v>19</v>
      </c>
      <c r="K1058" s="4" t="s">
        <v>24</v>
      </c>
      <c r="L1058" s="9">
        <v>45850</v>
      </c>
      <c r="M1058" s="9" t="str">
        <f>TEXT(Source_data[[#This Row],[Listing_Date]],"mmm-yy")</f>
        <v>Jul-25</v>
      </c>
      <c r="N1058" s="4">
        <f t="shared" si="16"/>
        <v>3352.4269102990033</v>
      </c>
      <c r="O1058" s="3" cm="1">
        <f t="array" ref="O1058">_xlfn.IFS(AND(K1058="Broker",J1058="Resale"),F1058*0.5,AND(K1058="Owner",J1058="Resale"),F1058*0,AND(K1058="Builder",J1058="Resale"),F1058*0.3,AND(J1058="New",K1058="Broker"),F1058*0.1,AND(J1058="New",K1058="Owner"),F1058*0,AND(J1058="New",K1058="Builder"),F1058*0.5)</f>
        <v>2018161</v>
      </c>
    </row>
    <row r="1059" spans="1:15" x14ac:dyDescent="0.3">
      <c r="A1059" s="8" t="s">
        <v>1128</v>
      </c>
      <c r="B1059" s="4" t="s">
        <v>988</v>
      </c>
      <c r="C1059" s="4" t="s">
        <v>995</v>
      </c>
      <c r="D1059" s="4">
        <v>2</v>
      </c>
      <c r="E1059" s="4">
        <v>825</v>
      </c>
      <c r="F1059" s="4">
        <v>5445908</v>
      </c>
      <c r="G1059" s="4">
        <v>2</v>
      </c>
      <c r="H1059" s="4">
        <v>2</v>
      </c>
      <c r="I1059" s="4" t="s">
        <v>18</v>
      </c>
      <c r="J1059" s="4" t="s">
        <v>19</v>
      </c>
      <c r="K1059" s="4" t="s">
        <v>20</v>
      </c>
      <c r="L1059" s="9">
        <v>45550</v>
      </c>
      <c r="M1059" s="9" t="str">
        <f>TEXT(Source_data[[#This Row],[Listing_Date]],"mmm-yy")</f>
        <v>Sep-24</v>
      </c>
      <c r="N1059" s="4">
        <f t="shared" si="16"/>
        <v>6601.100606060606</v>
      </c>
      <c r="O1059" s="3" cm="1">
        <f t="array" ref="O1059">_xlfn.IFS(AND(K1059="Broker",J1059="Resale"),F1059*0.5,AND(K1059="Owner",J1059="Resale"),F1059*0,AND(K1059="Builder",J1059="Resale"),F1059*0.3,AND(J1059="New",K1059="Broker"),F1059*0.1,AND(J1059="New",K1059="Owner"),F1059*0,AND(J1059="New",K1059="Builder"),F1059*0.5)</f>
        <v>544590.80000000005</v>
      </c>
    </row>
    <row r="1060" spans="1:15" x14ac:dyDescent="0.3">
      <c r="A1060" s="8" t="s">
        <v>1129</v>
      </c>
      <c r="B1060" s="4" t="s">
        <v>988</v>
      </c>
      <c r="C1060" s="4" t="s">
        <v>999</v>
      </c>
      <c r="D1060" s="4">
        <v>2</v>
      </c>
      <c r="E1060" s="4">
        <v>1085</v>
      </c>
      <c r="F1060" s="4">
        <v>8057099</v>
      </c>
      <c r="G1060" s="4">
        <v>2</v>
      </c>
      <c r="H1060" s="4">
        <v>2</v>
      </c>
      <c r="I1060" s="4" t="s">
        <v>27</v>
      </c>
      <c r="J1060" s="4" t="s">
        <v>19</v>
      </c>
      <c r="K1060" s="4" t="s">
        <v>24</v>
      </c>
      <c r="L1060" s="9">
        <v>45598</v>
      </c>
      <c r="M1060" s="9" t="str">
        <f>TEXT(Source_data[[#This Row],[Listing_Date]],"mmm-yy")</f>
        <v>Nov-24</v>
      </c>
      <c r="N1060" s="4">
        <f t="shared" si="16"/>
        <v>7425.8976958525345</v>
      </c>
      <c r="O1060" s="3" cm="1">
        <f t="array" ref="O1060">_xlfn.IFS(AND(K1060="Broker",J1060="Resale"),F1060*0.5,AND(K1060="Owner",J1060="Resale"),F1060*0,AND(K1060="Builder",J1060="Resale"),F1060*0.3,AND(J1060="New",K1060="Broker"),F1060*0.1,AND(J1060="New",K1060="Owner"),F1060*0,AND(J1060="New",K1060="Builder"),F1060*0.5)</f>
        <v>4028549.5</v>
      </c>
    </row>
    <row r="1061" spans="1:15" x14ac:dyDescent="0.3">
      <c r="A1061" s="8" t="s">
        <v>1130</v>
      </c>
      <c r="B1061" s="4" t="s">
        <v>988</v>
      </c>
      <c r="C1061" s="4" t="s">
        <v>999</v>
      </c>
      <c r="D1061" s="4">
        <v>3</v>
      </c>
      <c r="E1061" s="4">
        <v>1163</v>
      </c>
      <c r="F1061" s="4">
        <v>10382125</v>
      </c>
      <c r="G1061" s="4">
        <v>3</v>
      </c>
      <c r="H1061" s="4">
        <v>2</v>
      </c>
      <c r="I1061" s="4" t="s">
        <v>27</v>
      </c>
      <c r="J1061" s="4" t="s">
        <v>19</v>
      </c>
      <c r="K1061" s="4" t="s">
        <v>36</v>
      </c>
      <c r="L1061" s="9">
        <v>45016</v>
      </c>
      <c r="M1061" s="9" t="str">
        <f>TEXT(Source_data[[#This Row],[Listing_Date]],"mmm-yy")</f>
        <v>Mar-23</v>
      </c>
      <c r="N1061" s="4">
        <f t="shared" si="16"/>
        <v>8927.0206362854678</v>
      </c>
      <c r="O1061" s="3" cm="1">
        <f t="array" ref="O1061">_xlfn.IFS(AND(K1061="Broker",J1061="Resale"),F1061*0.5,AND(K1061="Owner",J1061="Resale"),F1061*0,AND(K1061="Builder",J1061="Resale"),F1061*0.3,AND(J1061="New",K1061="Broker"),F1061*0.1,AND(J1061="New",K1061="Owner"),F1061*0,AND(J1061="New",K1061="Builder"),F1061*0.5)</f>
        <v>0</v>
      </c>
    </row>
    <row r="1062" spans="1:15" x14ac:dyDescent="0.3">
      <c r="A1062" s="8" t="s">
        <v>1131</v>
      </c>
      <c r="B1062" s="4" t="s">
        <v>988</v>
      </c>
      <c r="C1062" s="4" t="s">
        <v>989</v>
      </c>
      <c r="D1062" s="4">
        <v>3</v>
      </c>
      <c r="E1062" s="4">
        <v>1387</v>
      </c>
      <c r="F1062" s="4">
        <v>10172540</v>
      </c>
      <c r="G1062" s="4">
        <v>3</v>
      </c>
      <c r="H1062" s="4">
        <v>4</v>
      </c>
      <c r="I1062" s="4" t="s">
        <v>8</v>
      </c>
      <c r="J1062" s="4" t="s">
        <v>23</v>
      </c>
      <c r="K1062" s="4" t="s">
        <v>36</v>
      </c>
      <c r="L1062" s="9">
        <v>45476</v>
      </c>
      <c r="M1062" s="9" t="str">
        <f>TEXT(Source_data[[#This Row],[Listing_Date]],"mmm-yy")</f>
        <v>Jul-24</v>
      </c>
      <c r="N1062" s="4">
        <f t="shared" si="16"/>
        <v>7334.203316510454</v>
      </c>
      <c r="O1062" s="3" cm="1">
        <f t="array" ref="O1062">_xlfn.IFS(AND(K1062="Broker",J1062="Resale"),F1062*0.5,AND(K1062="Owner",J1062="Resale"),F1062*0,AND(K1062="Builder",J1062="Resale"),F1062*0.3,AND(J1062="New",K1062="Broker"),F1062*0.1,AND(J1062="New",K1062="Owner"),F1062*0,AND(J1062="New",K1062="Builder"),F1062*0.5)</f>
        <v>0</v>
      </c>
    </row>
    <row r="1063" spans="1:15" x14ac:dyDescent="0.3">
      <c r="A1063" s="8" t="s">
        <v>1132</v>
      </c>
      <c r="B1063" s="4" t="s">
        <v>988</v>
      </c>
      <c r="C1063" s="4" t="s">
        <v>999</v>
      </c>
      <c r="D1063" s="4">
        <v>1</v>
      </c>
      <c r="E1063" s="4">
        <v>596</v>
      </c>
      <c r="F1063" s="4">
        <v>5373650</v>
      </c>
      <c r="G1063" s="4">
        <v>1</v>
      </c>
      <c r="H1063" s="4">
        <v>0</v>
      </c>
      <c r="I1063" s="4" t="s">
        <v>8</v>
      </c>
      <c r="J1063" s="4" t="s">
        <v>23</v>
      </c>
      <c r="K1063" s="4" t="s">
        <v>24</v>
      </c>
      <c r="L1063" s="9">
        <v>45488</v>
      </c>
      <c r="M1063" s="9" t="str">
        <f>TEXT(Source_data[[#This Row],[Listing_Date]],"mmm-yy")</f>
        <v>Jul-24</v>
      </c>
      <c r="N1063" s="4">
        <f t="shared" si="16"/>
        <v>9016.1912751677846</v>
      </c>
      <c r="O1063" s="3" cm="1">
        <f t="array" ref="O1063">_xlfn.IFS(AND(K1063="Broker",J1063="Resale"),F1063*0.5,AND(K1063="Owner",J1063="Resale"),F1063*0,AND(K1063="Builder",J1063="Resale"),F1063*0.3,AND(J1063="New",K1063="Broker"),F1063*0.1,AND(J1063="New",K1063="Owner"),F1063*0,AND(J1063="New",K1063="Builder"),F1063*0.5)</f>
        <v>1612095</v>
      </c>
    </row>
    <row r="1064" spans="1:15" x14ac:dyDescent="0.3">
      <c r="A1064" s="8" t="s">
        <v>1133</v>
      </c>
      <c r="B1064" s="4" t="s">
        <v>988</v>
      </c>
      <c r="C1064" s="4" t="s">
        <v>1007</v>
      </c>
      <c r="D1064" s="4">
        <v>3</v>
      </c>
      <c r="E1064" s="4">
        <v>964</v>
      </c>
      <c r="F1064" s="4">
        <v>8169728</v>
      </c>
      <c r="G1064" s="4">
        <v>4</v>
      </c>
      <c r="H1064" s="4">
        <v>3</v>
      </c>
      <c r="I1064" s="4" t="s">
        <v>8</v>
      </c>
      <c r="J1064" s="4" t="s">
        <v>23</v>
      </c>
      <c r="K1064" s="4" t="s">
        <v>24</v>
      </c>
      <c r="L1064" s="9">
        <v>45815</v>
      </c>
      <c r="M1064" s="9" t="str">
        <f>TEXT(Source_data[[#This Row],[Listing_Date]],"mmm-yy")</f>
        <v>Jun-25</v>
      </c>
      <c r="N1064" s="4">
        <f t="shared" si="16"/>
        <v>8474.8215767634847</v>
      </c>
      <c r="O1064" s="3" cm="1">
        <f t="array" ref="O1064">_xlfn.IFS(AND(K1064="Broker",J1064="Resale"),F1064*0.5,AND(K1064="Owner",J1064="Resale"),F1064*0,AND(K1064="Builder",J1064="Resale"),F1064*0.3,AND(J1064="New",K1064="Broker"),F1064*0.1,AND(J1064="New",K1064="Owner"),F1064*0,AND(J1064="New",K1064="Builder"),F1064*0.5)</f>
        <v>2450918.3999999999</v>
      </c>
    </row>
    <row r="1065" spans="1:15" x14ac:dyDescent="0.3">
      <c r="A1065" s="8" t="s">
        <v>1134</v>
      </c>
      <c r="B1065" s="4" t="s">
        <v>988</v>
      </c>
      <c r="C1065" s="4" t="s">
        <v>1007</v>
      </c>
      <c r="D1065" s="4">
        <v>2</v>
      </c>
      <c r="E1065" s="4">
        <v>520</v>
      </c>
      <c r="F1065" s="4">
        <v>3322173</v>
      </c>
      <c r="G1065" s="4">
        <v>2</v>
      </c>
      <c r="H1065" s="4">
        <v>0</v>
      </c>
      <c r="I1065" s="4" t="s">
        <v>8</v>
      </c>
      <c r="J1065" s="4" t="s">
        <v>19</v>
      </c>
      <c r="K1065" s="4" t="s">
        <v>36</v>
      </c>
      <c r="L1065" s="9">
        <v>45491</v>
      </c>
      <c r="M1065" s="9" t="str">
        <f>TEXT(Source_data[[#This Row],[Listing_Date]],"mmm-yy")</f>
        <v>Jul-24</v>
      </c>
      <c r="N1065" s="4">
        <f t="shared" si="16"/>
        <v>6388.794230769231</v>
      </c>
      <c r="O1065" s="3" cm="1">
        <f t="array" ref="O1065">_xlfn.IFS(AND(K1065="Broker",J1065="Resale"),F1065*0.5,AND(K1065="Owner",J1065="Resale"),F1065*0,AND(K1065="Builder",J1065="Resale"),F1065*0.3,AND(J1065="New",K1065="Broker"),F1065*0.1,AND(J1065="New",K1065="Owner"),F1065*0,AND(J1065="New",K1065="Builder"),F1065*0.5)</f>
        <v>0</v>
      </c>
    </row>
    <row r="1066" spans="1:15" x14ac:dyDescent="0.3">
      <c r="A1066" s="8" t="s">
        <v>1135</v>
      </c>
      <c r="B1066" s="4" t="s">
        <v>988</v>
      </c>
      <c r="C1066" s="4" t="s">
        <v>999</v>
      </c>
      <c r="D1066" s="4">
        <v>1</v>
      </c>
      <c r="E1066" s="4">
        <v>711</v>
      </c>
      <c r="F1066" s="4">
        <v>4524662</v>
      </c>
      <c r="G1066" s="4">
        <v>1</v>
      </c>
      <c r="H1066" s="4">
        <v>1</v>
      </c>
      <c r="I1066" s="4" t="s">
        <v>8</v>
      </c>
      <c r="J1066" s="4" t="s">
        <v>19</v>
      </c>
      <c r="K1066" s="4" t="s">
        <v>24</v>
      </c>
      <c r="L1066" s="9">
        <v>45777</v>
      </c>
      <c r="M1066" s="9" t="str">
        <f>TEXT(Source_data[[#This Row],[Listing_Date]],"mmm-yy")</f>
        <v>Apr-25</v>
      </c>
      <c r="N1066" s="4">
        <f t="shared" si="16"/>
        <v>6363.8002812939521</v>
      </c>
      <c r="O1066" s="3" cm="1">
        <f t="array" ref="O1066">_xlfn.IFS(AND(K1066="Broker",J1066="Resale"),F1066*0.5,AND(K1066="Owner",J1066="Resale"),F1066*0,AND(K1066="Builder",J1066="Resale"),F1066*0.3,AND(J1066="New",K1066="Broker"),F1066*0.1,AND(J1066="New",K1066="Owner"),F1066*0,AND(J1066="New",K1066="Builder"),F1066*0.5)</f>
        <v>2262331</v>
      </c>
    </row>
    <row r="1067" spans="1:15" x14ac:dyDescent="0.3">
      <c r="A1067" s="8" t="s">
        <v>1136</v>
      </c>
      <c r="B1067" s="4" t="s">
        <v>988</v>
      </c>
      <c r="C1067" s="4" t="s">
        <v>995</v>
      </c>
      <c r="D1067" s="4">
        <v>2</v>
      </c>
      <c r="E1067" s="4">
        <v>953</v>
      </c>
      <c r="F1067" s="4">
        <v>6178390</v>
      </c>
      <c r="G1067" s="4">
        <v>2</v>
      </c>
      <c r="H1067" s="4">
        <v>1</v>
      </c>
      <c r="I1067" s="4" t="s">
        <v>18</v>
      </c>
      <c r="J1067" s="4" t="s">
        <v>23</v>
      </c>
      <c r="K1067" s="4" t="s">
        <v>36</v>
      </c>
      <c r="L1067" s="9">
        <v>45307</v>
      </c>
      <c r="M1067" s="9" t="str">
        <f>TEXT(Source_data[[#This Row],[Listing_Date]],"mmm-yy")</f>
        <v>Jan-24</v>
      </c>
      <c r="N1067" s="4">
        <f t="shared" si="16"/>
        <v>6483.0954879328438</v>
      </c>
      <c r="O1067" s="3" cm="1">
        <f t="array" ref="O1067">_xlfn.IFS(AND(K1067="Broker",J1067="Resale"),F1067*0.5,AND(K1067="Owner",J1067="Resale"),F1067*0,AND(K1067="Builder",J1067="Resale"),F1067*0.3,AND(J1067="New",K1067="Broker"),F1067*0.1,AND(J1067="New",K1067="Owner"),F1067*0,AND(J1067="New",K1067="Builder"),F1067*0.5)</f>
        <v>0</v>
      </c>
    </row>
    <row r="1068" spans="1:15" x14ac:dyDescent="0.3">
      <c r="A1068" s="8" t="s">
        <v>1137</v>
      </c>
      <c r="B1068" s="4" t="s">
        <v>988</v>
      </c>
      <c r="C1068" s="4" t="s">
        <v>991</v>
      </c>
      <c r="D1068" s="4">
        <v>3</v>
      </c>
      <c r="E1068" s="4">
        <v>522</v>
      </c>
      <c r="F1068" s="4">
        <v>3460447</v>
      </c>
      <c r="G1068" s="4">
        <v>2</v>
      </c>
      <c r="H1068" s="4">
        <v>2</v>
      </c>
      <c r="I1068" s="4" t="s">
        <v>27</v>
      </c>
      <c r="J1068" s="4" t="s">
        <v>19</v>
      </c>
      <c r="K1068" s="4" t="s">
        <v>24</v>
      </c>
      <c r="L1068" s="9">
        <v>44976</v>
      </c>
      <c r="M1068" s="9" t="str">
        <f>TEXT(Source_data[[#This Row],[Listing_Date]],"mmm-yy")</f>
        <v>Feb-23</v>
      </c>
      <c r="N1068" s="4">
        <f t="shared" si="16"/>
        <v>6629.2088122605364</v>
      </c>
      <c r="O1068" s="3" cm="1">
        <f t="array" ref="O1068">_xlfn.IFS(AND(K1068="Broker",J1068="Resale"),F1068*0.5,AND(K1068="Owner",J1068="Resale"),F1068*0,AND(K1068="Builder",J1068="Resale"),F1068*0.3,AND(J1068="New",K1068="Broker"),F1068*0.1,AND(J1068="New",K1068="Owner"),F1068*0,AND(J1068="New",K1068="Builder"),F1068*0.5)</f>
        <v>1730223.5</v>
      </c>
    </row>
    <row r="1069" spans="1:15" x14ac:dyDescent="0.3">
      <c r="A1069" s="8" t="s">
        <v>1138</v>
      </c>
      <c r="B1069" s="4" t="s">
        <v>988</v>
      </c>
      <c r="C1069" s="4" t="s">
        <v>999</v>
      </c>
      <c r="D1069" s="4">
        <v>2</v>
      </c>
      <c r="E1069" s="4">
        <v>981</v>
      </c>
      <c r="F1069" s="4">
        <v>8045579</v>
      </c>
      <c r="G1069" s="4">
        <v>2</v>
      </c>
      <c r="H1069" s="4">
        <v>2</v>
      </c>
      <c r="I1069" s="4" t="s">
        <v>8</v>
      </c>
      <c r="J1069" s="4" t="s">
        <v>23</v>
      </c>
      <c r="K1069" s="4" t="s">
        <v>20</v>
      </c>
      <c r="L1069" s="9">
        <v>45752</v>
      </c>
      <c r="M1069" s="9" t="str">
        <f>TEXT(Source_data[[#This Row],[Listing_Date]],"mmm-yy")</f>
        <v>Apr-25</v>
      </c>
      <c r="N1069" s="4">
        <f t="shared" si="16"/>
        <v>8201.4057084607539</v>
      </c>
      <c r="O1069" s="3" cm="1">
        <f t="array" ref="O1069">_xlfn.IFS(AND(K1069="Broker",J1069="Resale"),F1069*0.5,AND(K1069="Owner",J1069="Resale"),F1069*0,AND(K1069="Builder",J1069="Resale"),F1069*0.3,AND(J1069="New",K1069="Broker"),F1069*0.1,AND(J1069="New",K1069="Owner"),F1069*0,AND(J1069="New",K1069="Builder"),F1069*0.5)</f>
        <v>4022789.5</v>
      </c>
    </row>
    <row r="1070" spans="1:15" x14ac:dyDescent="0.3">
      <c r="A1070" s="8" t="s">
        <v>1139</v>
      </c>
      <c r="B1070" s="4" t="s">
        <v>988</v>
      </c>
      <c r="C1070" s="4" t="s">
        <v>991</v>
      </c>
      <c r="D1070" s="4">
        <v>3</v>
      </c>
      <c r="E1070" s="4">
        <v>1119</v>
      </c>
      <c r="F1070" s="4">
        <v>7743423</v>
      </c>
      <c r="G1070" s="4">
        <v>2</v>
      </c>
      <c r="H1070" s="4">
        <v>3</v>
      </c>
      <c r="I1070" s="4" t="s">
        <v>18</v>
      </c>
      <c r="J1070" s="4" t="s">
        <v>23</v>
      </c>
      <c r="K1070" s="4" t="s">
        <v>20</v>
      </c>
      <c r="L1070" s="9">
        <v>45281</v>
      </c>
      <c r="M1070" s="9" t="str">
        <f>TEXT(Source_data[[#This Row],[Listing_Date]],"mmm-yy")</f>
        <v>Dec-23</v>
      </c>
      <c r="N1070" s="4">
        <f t="shared" si="16"/>
        <v>6919.9490616621988</v>
      </c>
      <c r="O1070" s="3" cm="1">
        <f t="array" ref="O1070">_xlfn.IFS(AND(K1070="Broker",J1070="Resale"),F1070*0.5,AND(K1070="Owner",J1070="Resale"),F1070*0,AND(K1070="Builder",J1070="Resale"),F1070*0.3,AND(J1070="New",K1070="Broker"),F1070*0.1,AND(J1070="New",K1070="Owner"),F1070*0,AND(J1070="New",K1070="Builder"),F1070*0.5)</f>
        <v>3871711.5</v>
      </c>
    </row>
    <row r="1071" spans="1:15" x14ac:dyDescent="0.3">
      <c r="A1071" s="8" t="s">
        <v>1140</v>
      </c>
      <c r="B1071" s="4" t="s">
        <v>988</v>
      </c>
      <c r="C1071" s="4" t="s">
        <v>993</v>
      </c>
      <c r="D1071" s="4">
        <v>2</v>
      </c>
      <c r="E1071" s="4">
        <v>851</v>
      </c>
      <c r="F1071" s="4">
        <v>6763478</v>
      </c>
      <c r="G1071" s="4">
        <v>3</v>
      </c>
      <c r="H1071" s="4">
        <v>0</v>
      </c>
      <c r="I1071" s="4" t="s">
        <v>18</v>
      </c>
      <c r="J1071" s="4" t="s">
        <v>19</v>
      </c>
      <c r="K1071" s="4" t="s">
        <v>20</v>
      </c>
      <c r="L1071" s="9">
        <v>45270</v>
      </c>
      <c r="M1071" s="9" t="str">
        <f>TEXT(Source_data[[#This Row],[Listing_Date]],"mmm-yy")</f>
        <v>Dec-23</v>
      </c>
      <c r="N1071" s="4">
        <f t="shared" si="16"/>
        <v>7947.6827262044653</v>
      </c>
      <c r="O1071" s="3" cm="1">
        <f t="array" ref="O1071">_xlfn.IFS(AND(K1071="Broker",J1071="Resale"),F1071*0.5,AND(K1071="Owner",J1071="Resale"),F1071*0,AND(K1071="Builder",J1071="Resale"),F1071*0.3,AND(J1071="New",K1071="Broker"),F1071*0.1,AND(J1071="New",K1071="Owner"),F1071*0,AND(J1071="New",K1071="Builder"),F1071*0.5)</f>
        <v>676347.8</v>
      </c>
    </row>
    <row r="1072" spans="1:15" x14ac:dyDescent="0.3">
      <c r="A1072" s="8" t="s">
        <v>1141</v>
      </c>
      <c r="B1072" s="4" t="s">
        <v>988</v>
      </c>
      <c r="C1072" s="4" t="s">
        <v>995</v>
      </c>
      <c r="D1072" s="4">
        <v>1</v>
      </c>
      <c r="E1072" s="4">
        <v>782</v>
      </c>
      <c r="F1072" s="4">
        <v>5658341</v>
      </c>
      <c r="G1072" s="4">
        <v>2</v>
      </c>
      <c r="H1072" s="4">
        <v>2</v>
      </c>
      <c r="I1072" s="4" t="s">
        <v>27</v>
      </c>
      <c r="J1072" s="4" t="s">
        <v>23</v>
      </c>
      <c r="K1072" s="4" t="s">
        <v>20</v>
      </c>
      <c r="L1072" s="9">
        <v>45405</v>
      </c>
      <c r="M1072" s="9" t="str">
        <f>TEXT(Source_data[[#This Row],[Listing_Date]],"mmm-yy")</f>
        <v>Apr-24</v>
      </c>
      <c r="N1072" s="4">
        <f t="shared" si="16"/>
        <v>7235.7301790281326</v>
      </c>
      <c r="O1072" s="3" cm="1">
        <f t="array" ref="O1072">_xlfn.IFS(AND(K1072="Broker",J1072="Resale"),F1072*0.5,AND(K1072="Owner",J1072="Resale"),F1072*0,AND(K1072="Builder",J1072="Resale"),F1072*0.3,AND(J1072="New",K1072="Broker"),F1072*0.1,AND(J1072="New",K1072="Owner"),F1072*0,AND(J1072="New",K1072="Builder"),F1072*0.5)</f>
        <v>2829170.5</v>
      </c>
    </row>
    <row r="1073" spans="1:15" x14ac:dyDescent="0.3">
      <c r="A1073" s="8" t="s">
        <v>1142</v>
      </c>
      <c r="B1073" s="4" t="s">
        <v>988</v>
      </c>
      <c r="C1073" s="4" t="s">
        <v>1007</v>
      </c>
      <c r="D1073" s="4">
        <v>3</v>
      </c>
      <c r="E1073" s="4">
        <v>1495</v>
      </c>
      <c r="F1073" s="4">
        <v>10264807</v>
      </c>
      <c r="G1073" s="4">
        <v>3</v>
      </c>
      <c r="H1073" s="4">
        <v>4</v>
      </c>
      <c r="I1073" s="4" t="s">
        <v>27</v>
      </c>
      <c r="J1073" s="4" t="s">
        <v>23</v>
      </c>
      <c r="K1073" s="4" t="s">
        <v>36</v>
      </c>
      <c r="L1073" s="9">
        <v>45438</v>
      </c>
      <c r="M1073" s="9" t="str">
        <f>TEXT(Source_data[[#This Row],[Listing_Date]],"mmm-yy")</f>
        <v>May-24</v>
      </c>
      <c r="N1073" s="4">
        <f t="shared" si="16"/>
        <v>6866.0916387959869</v>
      </c>
      <c r="O1073" s="3" cm="1">
        <f t="array" ref="O1073">_xlfn.IFS(AND(K1073="Broker",J1073="Resale"),F1073*0.5,AND(K1073="Owner",J1073="Resale"),F1073*0,AND(K1073="Builder",J1073="Resale"),F1073*0.3,AND(J1073="New",K1073="Broker"),F1073*0.1,AND(J1073="New",K1073="Owner"),F1073*0,AND(J1073="New",K1073="Builder"),F1073*0.5)</f>
        <v>0</v>
      </c>
    </row>
    <row r="1074" spans="1:15" x14ac:dyDescent="0.3">
      <c r="A1074" s="8" t="s">
        <v>1143</v>
      </c>
      <c r="B1074" s="4" t="s">
        <v>988</v>
      </c>
      <c r="C1074" s="4" t="s">
        <v>991</v>
      </c>
      <c r="D1074" s="4">
        <v>3</v>
      </c>
      <c r="E1074" s="4">
        <v>1390</v>
      </c>
      <c r="F1074" s="4">
        <v>8507783</v>
      </c>
      <c r="G1074" s="4">
        <v>4</v>
      </c>
      <c r="H1074" s="4">
        <v>3</v>
      </c>
      <c r="I1074" s="4" t="s">
        <v>8</v>
      </c>
      <c r="J1074" s="4" t="s">
        <v>19</v>
      </c>
      <c r="K1074" s="4" t="s">
        <v>36</v>
      </c>
      <c r="L1074" s="9">
        <v>45146</v>
      </c>
      <c r="M1074" s="9" t="str">
        <f>TEXT(Source_data[[#This Row],[Listing_Date]],"mmm-yy")</f>
        <v>Aug-23</v>
      </c>
      <c r="N1074" s="4">
        <f t="shared" si="16"/>
        <v>6120.7071942446046</v>
      </c>
      <c r="O1074" s="3" cm="1">
        <f t="array" ref="O1074">_xlfn.IFS(AND(K1074="Broker",J1074="Resale"),F1074*0.5,AND(K1074="Owner",J1074="Resale"),F1074*0,AND(K1074="Builder",J1074="Resale"),F1074*0.3,AND(J1074="New",K1074="Broker"),F1074*0.1,AND(J1074="New",K1074="Owner"),F1074*0,AND(J1074="New",K1074="Builder"),F1074*0.5)</f>
        <v>0</v>
      </c>
    </row>
    <row r="1075" spans="1:15" x14ac:dyDescent="0.3">
      <c r="A1075" s="8" t="s">
        <v>1144</v>
      </c>
      <c r="B1075" s="4" t="s">
        <v>988</v>
      </c>
      <c r="C1075" s="4" t="s">
        <v>999</v>
      </c>
      <c r="D1075" s="4">
        <v>3</v>
      </c>
      <c r="E1075" s="4">
        <v>1022</v>
      </c>
      <c r="F1075" s="4">
        <v>8933187</v>
      </c>
      <c r="G1075" s="4">
        <v>3</v>
      </c>
      <c r="H1075" s="4">
        <v>1</v>
      </c>
      <c r="I1075" s="4" t="s">
        <v>8</v>
      </c>
      <c r="J1075" s="4" t="s">
        <v>19</v>
      </c>
      <c r="K1075" s="4" t="s">
        <v>24</v>
      </c>
      <c r="L1075" s="9">
        <v>45755</v>
      </c>
      <c r="M1075" s="9" t="str">
        <f>TEXT(Source_data[[#This Row],[Listing_Date]],"mmm-yy")</f>
        <v>Apr-25</v>
      </c>
      <c r="N1075" s="4">
        <f t="shared" si="16"/>
        <v>8740.8874755381603</v>
      </c>
      <c r="O1075" s="3" cm="1">
        <f t="array" ref="O1075">_xlfn.IFS(AND(K1075="Broker",J1075="Resale"),F1075*0.5,AND(K1075="Owner",J1075="Resale"),F1075*0,AND(K1075="Builder",J1075="Resale"),F1075*0.3,AND(J1075="New",K1075="Broker"),F1075*0.1,AND(J1075="New",K1075="Owner"),F1075*0,AND(J1075="New",K1075="Builder"),F1075*0.5)</f>
        <v>4466593.5</v>
      </c>
    </row>
    <row r="1076" spans="1:15" x14ac:dyDescent="0.3">
      <c r="A1076" s="8" t="s">
        <v>1145</v>
      </c>
      <c r="B1076" s="4" t="s">
        <v>988</v>
      </c>
      <c r="C1076" s="4" t="s">
        <v>989</v>
      </c>
      <c r="D1076" s="4">
        <v>3</v>
      </c>
      <c r="E1076" s="4">
        <v>1488</v>
      </c>
      <c r="F1076" s="4">
        <v>10302191</v>
      </c>
      <c r="G1076" s="4">
        <v>4</v>
      </c>
      <c r="H1076" s="4">
        <v>1</v>
      </c>
      <c r="I1076" s="4" t="s">
        <v>67</v>
      </c>
      <c r="J1076" s="4" t="s">
        <v>19</v>
      </c>
      <c r="K1076" s="4" t="s">
        <v>24</v>
      </c>
      <c r="L1076" s="9">
        <v>45352</v>
      </c>
      <c r="M1076" s="9" t="str">
        <f>TEXT(Source_data[[#This Row],[Listing_Date]],"mmm-yy")</f>
        <v>Mar-24</v>
      </c>
      <c r="N1076" s="4">
        <f t="shared" si="16"/>
        <v>6923.5154569892475</v>
      </c>
      <c r="O1076" s="3" cm="1">
        <f t="array" ref="O1076">_xlfn.IFS(AND(K1076="Broker",J1076="Resale"),F1076*0.5,AND(K1076="Owner",J1076="Resale"),F1076*0,AND(K1076="Builder",J1076="Resale"),F1076*0.3,AND(J1076="New",K1076="Broker"),F1076*0.1,AND(J1076="New",K1076="Owner"),F1076*0,AND(J1076="New",K1076="Builder"),F1076*0.5)</f>
        <v>5151095.5</v>
      </c>
    </row>
    <row r="1077" spans="1:15" x14ac:dyDescent="0.3">
      <c r="A1077" s="8" t="s">
        <v>1146</v>
      </c>
      <c r="B1077" s="4" t="s">
        <v>988</v>
      </c>
      <c r="C1077" s="4" t="s">
        <v>995</v>
      </c>
      <c r="D1077" s="4">
        <v>2</v>
      </c>
      <c r="E1077" s="4">
        <v>685</v>
      </c>
      <c r="F1077" s="4">
        <v>6409059</v>
      </c>
      <c r="G1077" s="4">
        <v>2</v>
      </c>
      <c r="H1077" s="4">
        <v>1</v>
      </c>
      <c r="I1077" s="4" t="s">
        <v>27</v>
      </c>
      <c r="J1077" s="4" t="s">
        <v>19</v>
      </c>
      <c r="K1077" s="4" t="s">
        <v>20</v>
      </c>
      <c r="L1077" s="9">
        <v>45892</v>
      </c>
      <c r="M1077" s="9" t="str">
        <f>TEXT(Source_data[[#This Row],[Listing_Date]],"mmm-yy")</f>
        <v>Aug-25</v>
      </c>
      <c r="N1077" s="4">
        <f t="shared" si="16"/>
        <v>9356.2905109489056</v>
      </c>
      <c r="O1077" s="3" cm="1">
        <f t="array" ref="O1077">_xlfn.IFS(AND(K1077="Broker",J1077="Resale"),F1077*0.5,AND(K1077="Owner",J1077="Resale"),F1077*0,AND(K1077="Builder",J1077="Resale"),F1077*0.3,AND(J1077="New",K1077="Broker"),F1077*0.1,AND(J1077="New",K1077="Owner"),F1077*0,AND(J1077="New",K1077="Builder"),F1077*0.5)</f>
        <v>640905.9</v>
      </c>
    </row>
    <row r="1078" spans="1:15" x14ac:dyDescent="0.3">
      <c r="A1078" s="8" t="s">
        <v>1147</v>
      </c>
      <c r="B1078" s="4" t="s">
        <v>988</v>
      </c>
      <c r="C1078" s="4" t="s">
        <v>993</v>
      </c>
      <c r="D1078" s="4">
        <v>3</v>
      </c>
      <c r="E1078" s="4">
        <v>1240</v>
      </c>
      <c r="F1078" s="4">
        <v>10712282</v>
      </c>
      <c r="G1078" s="4">
        <v>3</v>
      </c>
      <c r="H1078" s="4">
        <v>1</v>
      </c>
      <c r="I1078" s="4" t="s">
        <v>18</v>
      </c>
      <c r="J1078" s="4" t="s">
        <v>19</v>
      </c>
      <c r="K1078" s="4" t="s">
        <v>20</v>
      </c>
      <c r="L1078" s="9">
        <v>45451</v>
      </c>
      <c r="M1078" s="9" t="str">
        <f>TEXT(Source_data[[#This Row],[Listing_Date]],"mmm-yy")</f>
        <v>Jun-24</v>
      </c>
      <c r="N1078" s="4">
        <f t="shared" si="16"/>
        <v>8638.9370967741943</v>
      </c>
      <c r="O1078" s="3" cm="1">
        <f t="array" ref="O1078">_xlfn.IFS(AND(K1078="Broker",J1078="Resale"),F1078*0.5,AND(K1078="Owner",J1078="Resale"),F1078*0,AND(K1078="Builder",J1078="Resale"),F1078*0.3,AND(J1078="New",K1078="Broker"),F1078*0.1,AND(J1078="New",K1078="Owner"),F1078*0,AND(J1078="New",K1078="Builder"),F1078*0.5)</f>
        <v>1071228.2</v>
      </c>
    </row>
    <row r="1079" spans="1:15" x14ac:dyDescent="0.3">
      <c r="A1079" s="8" t="s">
        <v>1148</v>
      </c>
      <c r="B1079" s="4" t="s">
        <v>988</v>
      </c>
      <c r="C1079" s="4" t="s">
        <v>999</v>
      </c>
      <c r="D1079" s="4">
        <v>3</v>
      </c>
      <c r="E1079" s="4">
        <v>1445</v>
      </c>
      <c r="F1079" s="4">
        <v>9356881</v>
      </c>
      <c r="G1079" s="4">
        <v>3</v>
      </c>
      <c r="H1079" s="4">
        <v>3</v>
      </c>
      <c r="I1079" s="4" t="s">
        <v>18</v>
      </c>
      <c r="J1079" s="4" t="s">
        <v>23</v>
      </c>
      <c r="K1079" s="4" t="s">
        <v>24</v>
      </c>
      <c r="L1079" s="9">
        <v>45588</v>
      </c>
      <c r="M1079" s="9" t="str">
        <f>TEXT(Source_data[[#This Row],[Listing_Date]],"mmm-yy")</f>
        <v>Oct-24</v>
      </c>
      <c r="N1079" s="4">
        <f t="shared" si="16"/>
        <v>6475.3501730103808</v>
      </c>
      <c r="O1079" s="3" cm="1">
        <f t="array" ref="O1079">_xlfn.IFS(AND(K1079="Broker",J1079="Resale"),F1079*0.5,AND(K1079="Owner",J1079="Resale"),F1079*0,AND(K1079="Builder",J1079="Resale"),F1079*0.3,AND(J1079="New",K1079="Broker"),F1079*0.1,AND(J1079="New",K1079="Owner"),F1079*0,AND(J1079="New",K1079="Builder"),F1079*0.5)</f>
        <v>2807064.3</v>
      </c>
    </row>
    <row r="1080" spans="1:15" x14ac:dyDescent="0.3">
      <c r="A1080" s="8" t="s">
        <v>1149</v>
      </c>
      <c r="B1080" s="4" t="s">
        <v>988</v>
      </c>
      <c r="C1080" s="4" t="s">
        <v>999</v>
      </c>
      <c r="D1080" s="4">
        <v>3</v>
      </c>
      <c r="E1080" s="4">
        <v>1313</v>
      </c>
      <c r="F1080" s="4">
        <v>9724957</v>
      </c>
      <c r="G1080" s="4">
        <v>3</v>
      </c>
      <c r="H1080" s="4">
        <v>2</v>
      </c>
      <c r="I1080" s="4" t="s">
        <v>18</v>
      </c>
      <c r="J1080" s="4" t="s">
        <v>23</v>
      </c>
      <c r="K1080" s="4" t="s">
        <v>20</v>
      </c>
      <c r="L1080" s="9">
        <v>45342</v>
      </c>
      <c r="M1080" s="9" t="str">
        <f>TEXT(Source_data[[#This Row],[Listing_Date]],"mmm-yy")</f>
        <v>Feb-24</v>
      </c>
      <c r="N1080" s="4">
        <f t="shared" si="16"/>
        <v>7406.6694592536178</v>
      </c>
      <c r="O1080" s="3" cm="1">
        <f t="array" ref="O1080">_xlfn.IFS(AND(K1080="Broker",J1080="Resale"),F1080*0.5,AND(K1080="Owner",J1080="Resale"),F1080*0,AND(K1080="Builder",J1080="Resale"),F1080*0.3,AND(J1080="New",K1080="Broker"),F1080*0.1,AND(J1080="New",K1080="Owner"),F1080*0,AND(J1080="New",K1080="Builder"),F1080*0.5)</f>
        <v>4862478.5</v>
      </c>
    </row>
    <row r="1081" spans="1:15" x14ac:dyDescent="0.3">
      <c r="A1081" s="8" t="s">
        <v>1150</v>
      </c>
      <c r="B1081" s="4" t="s">
        <v>988</v>
      </c>
      <c r="C1081" s="4" t="s">
        <v>989</v>
      </c>
      <c r="D1081" s="4">
        <v>3</v>
      </c>
      <c r="E1081" s="4">
        <v>1489</v>
      </c>
      <c r="F1081" s="4">
        <v>10441725</v>
      </c>
      <c r="G1081" s="4">
        <v>3</v>
      </c>
      <c r="H1081" s="4">
        <v>1</v>
      </c>
      <c r="I1081" s="4" t="s">
        <v>8</v>
      </c>
      <c r="J1081" s="4" t="s">
        <v>19</v>
      </c>
      <c r="K1081" s="4" t="s">
        <v>24</v>
      </c>
      <c r="L1081" s="9">
        <v>45072</v>
      </c>
      <c r="M1081" s="9" t="str">
        <f>TEXT(Source_data[[#This Row],[Listing_Date]],"mmm-yy")</f>
        <v>May-23</v>
      </c>
      <c r="N1081" s="4">
        <f t="shared" si="16"/>
        <v>7012.5755540631299</v>
      </c>
      <c r="O1081" s="3" cm="1">
        <f t="array" ref="O1081">_xlfn.IFS(AND(K1081="Broker",J1081="Resale"),F1081*0.5,AND(K1081="Owner",J1081="Resale"),F1081*0,AND(K1081="Builder",J1081="Resale"),F1081*0.3,AND(J1081="New",K1081="Broker"),F1081*0.1,AND(J1081="New",K1081="Owner"),F1081*0,AND(J1081="New",K1081="Builder"),F1081*0.5)</f>
        <v>5220862.5</v>
      </c>
    </row>
    <row r="1082" spans="1:15" x14ac:dyDescent="0.3">
      <c r="A1082" s="8" t="s">
        <v>1151</v>
      </c>
      <c r="B1082" s="4" t="s">
        <v>988</v>
      </c>
      <c r="C1082" s="4" t="s">
        <v>993</v>
      </c>
      <c r="D1082" s="4">
        <v>3</v>
      </c>
      <c r="E1082" s="4">
        <v>1450</v>
      </c>
      <c r="F1082" s="4">
        <v>9132989</v>
      </c>
      <c r="G1082" s="4">
        <v>2</v>
      </c>
      <c r="H1082" s="4">
        <v>2</v>
      </c>
      <c r="I1082" s="4" t="s">
        <v>8</v>
      </c>
      <c r="J1082" s="4" t="s">
        <v>19</v>
      </c>
      <c r="K1082" s="4" t="s">
        <v>24</v>
      </c>
      <c r="L1082" s="9">
        <v>45520</v>
      </c>
      <c r="M1082" s="9" t="str">
        <f>TEXT(Source_data[[#This Row],[Listing_Date]],"mmm-yy")</f>
        <v>Aug-24</v>
      </c>
      <c r="N1082" s="4">
        <f t="shared" si="16"/>
        <v>6298.613103448276</v>
      </c>
      <c r="O1082" s="3" cm="1">
        <f t="array" ref="O1082">_xlfn.IFS(AND(K1082="Broker",J1082="Resale"),F1082*0.5,AND(K1082="Owner",J1082="Resale"),F1082*0,AND(K1082="Builder",J1082="Resale"),F1082*0.3,AND(J1082="New",K1082="Broker"),F1082*0.1,AND(J1082="New",K1082="Owner"),F1082*0,AND(J1082="New",K1082="Builder"),F1082*0.5)</f>
        <v>4566494.5</v>
      </c>
    </row>
    <row r="1083" spans="1:15" x14ac:dyDescent="0.3">
      <c r="A1083" s="8" t="s">
        <v>1152</v>
      </c>
      <c r="B1083" s="4" t="s">
        <v>988</v>
      </c>
      <c r="C1083" s="4" t="s">
        <v>995</v>
      </c>
      <c r="D1083" s="4">
        <v>1</v>
      </c>
      <c r="E1083" s="4">
        <v>545</v>
      </c>
      <c r="F1083" s="4">
        <v>3468659</v>
      </c>
      <c r="G1083" s="4">
        <v>1</v>
      </c>
      <c r="H1083" s="4">
        <v>2</v>
      </c>
      <c r="I1083" s="4" t="s">
        <v>18</v>
      </c>
      <c r="J1083" s="4" t="s">
        <v>19</v>
      </c>
      <c r="K1083" s="4" t="s">
        <v>24</v>
      </c>
      <c r="L1083" s="9">
        <v>45437</v>
      </c>
      <c r="M1083" s="9" t="str">
        <f>TEXT(Source_data[[#This Row],[Listing_Date]],"mmm-yy")</f>
        <v>May-24</v>
      </c>
      <c r="N1083" s="4">
        <f t="shared" si="16"/>
        <v>6364.5119266055044</v>
      </c>
      <c r="O1083" s="3" cm="1">
        <f t="array" ref="O1083">_xlfn.IFS(AND(K1083="Broker",J1083="Resale"),F1083*0.5,AND(K1083="Owner",J1083="Resale"),F1083*0,AND(K1083="Builder",J1083="Resale"),F1083*0.3,AND(J1083="New",K1083="Broker"),F1083*0.1,AND(J1083="New",K1083="Owner"),F1083*0,AND(J1083="New",K1083="Builder"),F1083*0.5)</f>
        <v>1734329.5</v>
      </c>
    </row>
    <row r="1084" spans="1:15" x14ac:dyDescent="0.3">
      <c r="A1084" s="8" t="s">
        <v>1153</v>
      </c>
      <c r="B1084" s="4" t="s">
        <v>988</v>
      </c>
      <c r="C1084" s="4" t="s">
        <v>999</v>
      </c>
      <c r="D1084" s="4">
        <v>2</v>
      </c>
      <c r="E1084" s="4">
        <v>1037</v>
      </c>
      <c r="F1084" s="4">
        <v>7506385</v>
      </c>
      <c r="G1084" s="4">
        <v>2</v>
      </c>
      <c r="H1084" s="4">
        <v>3</v>
      </c>
      <c r="I1084" s="4" t="s">
        <v>27</v>
      </c>
      <c r="J1084" s="4" t="s">
        <v>23</v>
      </c>
      <c r="K1084" s="4" t="s">
        <v>20</v>
      </c>
      <c r="L1084" s="9">
        <v>45304</v>
      </c>
      <c r="M1084" s="9" t="str">
        <f>TEXT(Source_data[[#This Row],[Listing_Date]],"mmm-yy")</f>
        <v>Jan-24</v>
      </c>
      <c r="N1084" s="4">
        <f t="shared" si="16"/>
        <v>7238.5583413693348</v>
      </c>
      <c r="O1084" s="3" cm="1">
        <f t="array" ref="O1084">_xlfn.IFS(AND(K1084="Broker",J1084="Resale"),F1084*0.5,AND(K1084="Owner",J1084="Resale"),F1084*0,AND(K1084="Builder",J1084="Resale"),F1084*0.3,AND(J1084="New",K1084="Broker"),F1084*0.1,AND(J1084="New",K1084="Owner"),F1084*0,AND(J1084="New",K1084="Builder"),F1084*0.5)</f>
        <v>3753192.5</v>
      </c>
    </row>
    <row r="1085" spans="1:15" x14ac:dyDescent="0.3">
      <c r="A1085" s="8" t="s">
        <v>1154</v>
      </c>
      <c r="B1085" s="4" t="s">
        <v>988</v>
      </c>
      <c r="C1085" s="4" t="s">
        <v>991</v>
      </c>
      <c r="D1085" s="4">
        <v>2</v>
      </c>
      <c r="E1085" s="4">
        <v>719</v>
      </c>
      <c r="F1085" s="4">
        <v>4220720</v>
      </c>
      <c r="G1085" s="4">
        <v>2</v>
      </c>
      <c r="H1085" s="4">
        <v>2</v>
      </c>
      <c r="I1085" s="4" t="s">
        <v>8</v>
      </c>
      <c r="J1085" s="4" t="s">
        <v>23</v>
      </c>
      <c r="K1085" s="4" t="s">
        <v>20</v>
      </c>
      <c r="L1085" s="9">
        <v>45546</v>
      </c>
      <c r="M1085" s="9" t="str">
        <f>TEXT(Source_data[[#This Row],[Listing_Date]],"mmm-yy")</f>
        <v>Sep-24</v>
      </c>
      <c r="N1085" s="4">
        <f t="shared" si="16"/>
        <v>5870.2642559109872</v>
      </c>
      <c r="O1085" s="3" cm="1">
        <f t="array" ref="O1085">_xlfn.IFS(AND(K1085="Broker",J1085="Resale"),F1085*0.5,AND(K1085="Owner",J1085="Resale"),F1085*0,AND(K1085="Builder",J1085="Resale"),F1085*0.3,AND(J1085="New",K1085="Broker"),F1085*0.1,AND(J1085="New",K1085="Owner"),F1085*0,AND(J1085="New",K1085="Builder"),F1085*0.5)</f>
        <v>2110360</v>
      </c>
    </row>
    <row r="1086" spans="1:15" x14ac:dyDescent="0.3">
      <c r="A1086" s="8" t="s">
        <v>1155</v>
      </c>
      <c r="B1086" s="4" t="s">
        <v>1156</v>
      </c>
      <c r="C1086" s="4" t="s">
        <v>1157</v>
      </c>
      <c r="D1086" s="4">
        <v>3</v>
      </c>
      <c r="E1086" s="4">
        <v>1224</v>
      </c>
      <c r="F1086" s="4">
        <v>7325027</v>
      </c>
      <c r="G1086" s="4">
        <v>3</v>
      </c>
      <c r="H1086" s="4">
        <v>2</v>
      </c>
      <c r="I1086" s="4" t="s">
        <v>8</v>
      </c>
      <c r="J1086" s="4" t="s">
        <v>19</v>
      </c>
      <c r="K1086" s="4" t="s">
        <v>36</v>
      </c>
      <c r="L1086" s="9">
        <v>45560</v>
      </c>
      <c r="M1086" s="9" t="str">
        <f>TEXT(Source_data[[#This Row],[Listing_Date]],"mmm-yy")</f>
        <v>Sep-24</v>
      </c>
      <c r="N1086" s="4">
        <f t="shared" si="16"/>
        <v>5984.4991830065355</v>
      </c>
      <c r="O1086" s="3" cm="1">
        <f t="array" ref="O1086">_xlfn.IFS(AND(K1086="Broker",J1086="Resale"),F1086*0.5,AND(K1086="Owner",J1086="Resale"),F1086*0,AND(K1086="Builder",J1086="Resale"),F1086*0.3,AND(J1086="New",K1086="Broker"),F1086*0.1,AND(J1086="New",K1086="Owner"),F1086*0,AND(J1086="New",K1086="Builder"),F1086*0.5)</f>
        <v>0</v>
      </c>
    </row>
    <row r="1087" spans="1:15" x14ac:dyDescent="0.3">
      <c r="A1087" s="8" t="s">
        <v>1158</v>
      </c>
      <c r="B1087" s="4" t="s">
        <v>1156</v>
      </c>
      <c r="C1087" s="4" t="s">
        <v>1157</v>
      </c>
      <c r="D1087" s="4">
        <v>3</v>
      </c>
      <c r="E1087" s="4">
        <v>1374</v>
      </c>
      <c r="F1087" s="4">
        <v>9150601</v>
      </c>
      <c r="G1087" s="4">
        <v>2</v>
      </c>
      <c r="H1087" s="4">
        <v>4</v>
      </c>
      <c r="I1087" s="4" t="s">
        <v>18</v>
      </c>
      <c r="J1087" s="4" t="s">
        <v>19</v>
      </c>
      <c r="K1087" s="4" t="s">
        <v>36</v>
      </c>
      <c r="L1087" s="9">
        <v>45542</v>
      </c>
      <c r="M1087" s="9" t="str">
        <f>TEXT(Source_data[[#This Row],[Listing_Date]],"mmm-yy")</f>
        <v>Sep-24</v>
      </c>
      <c r="N1087" s="4">
        <f t="shared" si="16"/>
        <v>6659.8260553129548</v>
      </c>
      <c r="O1087" s="3" cm="1">
        <f t="array" ref="O1087">_xlfn.IFS(AND(K1087="Broker",J1087="Resale"),F1087*0.5,AND(K1087="Owner",J1087="Resale"),F1087*0,AND(K1087="Builder",J1087="Resale"),F1087*0.3,AND(J1087="New",K1087="Broker"),F1087*0.1,AND(J1087="New",K1087="Owner"),F1087*0,AND(J1087="New",K1087="Builder"),F1087*0.5)</f>
        <v>0</v>
      </c>
    </row>
    <row r="1088" spans="1:15" x14ac:dyDescent="0.3">
      <c r="A1088" s="8" t="s">
        <v>1159</v>
      </c>
      <c r="B1088" s="4" t="s">
        <v>1156</v>
      </c>
      <c r="C1088" s="4" t="s">
        <v>1160</v>
      </c>
      <c r="D1088" s="4">
        <v>1</v>
      </c>
      <c r="E1088" s="4">
        <v>488</v>
      </c>
      <c r="F1088" s="4">
        <v>3079813</v>
      </c>
      <c r="G1088" s="4">
        <v>2</v>
      </c>
      <c r="H1088" s="4">
        <v>2</v>
      </c>
      <c r="I1088" s="4" t="s">
        <v>8</v>
      </c>
      <c r="J1088" s="4" t="s">
        <v>23</v>
      </c>
      <c r="K1088" s="4" t="s">
        <v>20</v>
      </c>
      <c r="L1088" s="9">
        <v>45235</v>
      </c>
      <c r="M1088" s="9" t="str">
        <f>TEXT(Source_data[[#This Row],[Listing_Date]],"mmm-yy")</f>
        <v>Nov-23</v>
      </c>
      <c r="N1088" s="4">
        <f t="shared" si="16"/>
        <v>6311.0922131147545</v>
      </c>
      <c r="O1088" s="3" cm="1">
        <f t="array" ref="O1088">_xlfn.IFS(AND(K1088="Broker",J1088="Resale"),F1088*0.5,AND(K1088="Owner",J1088="Resale"),F1088*0,AND(K1088="Builder",J1088="Resale"),F1088*0.3,AND(J1088="New",K1088="Broker"),F1088*0.1,AND(J1088="New",K1088="Owner"),F1088*0,AND(J1088="New",K1088="Builder"),F1088*0.5)</f>
        <v>1539906.5</v>
      </c>
    </row>
    <row r="1089" spans="1:15" x14ac:dyDescent="0.3">
      <c r="A1089" s="8" t="s">
        <v>1161</v>
      </c>
      <c r="B1089" s="4" t="s">
        <v>1156</v>
      </c>
      <c r="C1089" s="4" t="s">
        <v>1162</v>
      </c>
      <c r="D1089" s="4">
        <v>4</v>
      </c>
      <c r="E1089" s="4">
        <v>1739</v>
      </c>
      <c r="F1089" s="4">
        <v>12126770</v>
      </c>
      <c r="G1089" s="4">
        <v>3</v>
      </c>
      <c r="H1089" s="4">
        <v>0</v>
      </c>
      <c r="I1089" s="4" t="s">
        <v>18</v>
      </c>
      <c r="J1089" s="4" t="s">
        <v>23</v>
      </c>
      <c r="K1089" s="4" t="s">
        <v>36</v>
      </c>
      <c r="L1089" s="9">
        <v>45081</v>
      </c>
      <c r="M1089" s="9" t="str">
        <f>TEXT(Source_data[[#This Row],[Listing_Date]],"mmm-yy")</f>
        <v>Jun-23</v>
      </c>
      <c r="N1089" s="4">
        <f t="shared" si="16"/>
        <v>6973.4157561817137</v>
      </c>
      <c r="O1089" s="3" cm="1">
        <f t="array" ref="O1089">_xlfn.IFS(AND(K1089="Broker",J1089="Resale"),F1089*0.5,AND(K1089="Owner",J1089="Resale"),F1089*0,AND(K1089="Builder",J1089="Resale"),F1089*0.3,AND(J1089="New",K1089="Broker"),F1089*0.1,AND(J1089="New",K1089="Owner"),F1089*0,AND(J1089="New",K1089="Builder"),F1089*0.5)</f>
        <v>0</v>
      </c>
    </row>
    <row r="1090" spans="1:15" x14ac:dyDescent="0.3">
      <c r="A1090" s="8" t="s">
        <v>1163</v>
      </c>
      <c r="B1090" s="4" t="s">
        <v>1156</v>
      </c>
      <c r="C1090" s="4" t="s">
        <v>1164</v>
      </c>
      <c r="D1090" s="4">
        <v>3</v>
      </c>
      <c r="E1090" s="4">
        <v>1516</v>
      </c>
      <c r="F1090" s="4">
        <v>7633358</v>
      </c>
      <c r="G1090" s="4">
        <v>3</v>
      </c>
      <c r="H1090" s="4">
        <v>3</v>
      </c>
      <c r="I1090" s="4" t="s">
        <v>18</v>
      </c>
      <c r="J1090" s="4" t="s">
        <v>19</v>
      </c>
      <c r="K1090" s="4" t="s">
        <v>20</v>
      </c>
      <c r="L1090" s="9">
        <v>45874</v>
      </c>
      <c r="M1090" s="9" t="str">
        <f>TEXT(Source_data[[#This Row],[Listing_Date]],"mmm-yy")</f>
        <v>Aug-25</v>
      </c>
      <c r="N1090" s="4">
        <f t="shared" si="16"/>
        <v>5035.196569920844</v>
      </c>
      <c r="O1090" s="3" cm="1">
        <f t="array" ref="O1090">_xlfn.IFS(AND(K1090="Broker",J1090="Resale"),F1090*0.5,AND(K1090="Owner",J1090="Resale"),F1090*0,AND(K1090="Builder",J1090="Resale"),F1090*0.3,AND(J1090="New",K1090="Broker"),F1090*0.1,AND(J1090="New",K1090="Owner"),F1090*0,AND(J1090="New",K1090="Builder"),F1090*0.5)</f>
        <v>763335.8</v>
      </c>
    </row>
    <row r="1091" spans="1:15" x14ac:dyDescent="0.3">
      <c r="A1091" s="8" t="s">
        <v>1165</v>
      </c>
      <c r="B1091" s="4" t="s">
        <v>1156</v>
      </c>
      <c r="C1091" s="4" t="s">
        <v>1160</v>
      </c>
      <c r="D1091" s="4">
        <v>3</v>
      </c>
      <c r="E1091" s="4">
        <v>1185</v>
      </c>
      <c r="F1091" s="4">
        <v>5712959</v>
      </c>
      <c r="G1091" s="4">
        <v>3</v>
      </c>
      <c r="H1091" s="4">
        <v>3</v>
      </c>
      <c r="I1091" s="4" t="s">
        <v>18</v>
      </c>
      <c r="J1091" s="4" t="s">
        <v>23</v>
      </c>
      <c r="K1091" s="4" t="s">
        <v>24</v>
      </c>
      <c r="L1091" s="9">
        <v>45076</v>
      </c>
      <c r="M1091" s="9" t="str">
        <f>TEXT(Source_data[[#This Row],[Listing_Date]],"mmm-yy")</f>
        <v>May-23</v>
      </c>
      <c r="N1091" s="4">
        <f t="shared" ref="N1091:N1154" si="17">F1091/E1091</f>
        <v>4821.0624472573836</v>
      </c>
      <c r="O1091" s="3" cm="1">
        <f t="array" ref="O1091">_xlfn.IFS(AND(K1091="Broker",J1091="Resale"),F1091*0.5,AND(K1091="Owner",J1091="Resale"),F1091*0,AND(K1091="Builder",J1091="Resale"),F1091*0.3,AND(J1091="New",K1091="Broker"),F1091*0.1,AND(J1091="New",K1091="Owner"),F1091*0,AND(J1091="New",K1091="Builder"),F1091*0.5)</f>
        <v>1713887.7</v>
      </c>
    </row>
    <row r="1092" spans="1:15" x14ac:dyDescent="0.3">
      <c r="A1092" s="8" t="s">
        <v>1166</v>
      </c>
      <c r="B1092" s="4" t="s">
        <v>1156</v>
      </c>
      <c r="C1092" s="4" t="s">
        <v>1167</v>
      </c>
      <c r="D1092" s="4">
        <v>2</v>
      </c>
      <c r="E1092" s="4">
        <v>925</v>
      </c>
      <c r="F1092" s="4">
        <v>4611325</v>
      </c>
      <c r="G1092" s="4">
        <v>2</v>
      </c>
      <c r="H1092" s="4">
        <v>1</v>
      </c>
      <c r="I1092" s="4" t="s">
        <v>8</v>
      </c>
      <c r="J1092" s="4" t="s">
        <v>23</v>
      </c>
      <c r="K1092" s="4" t="s">
        <v>20</v>
      </c>
      <c r="L1092" s="9">
        <v>45122</v>
      </c>
      <c r="M1092" s="9" t="str">
        <f>TEXT(Source_data[[#This Row],[Listing_Date]],"mmm-yy")</f>
        <v>Jul-23</v>
      </c>
      <c r="N1092" s="4">
        <f t="shared" si="17"/>
        <v>4985.2162162162158</v>
      </c>
      <c r="O1092" s="3" cm="1">
        <f t="array" ref="O1092">_xlfn.IFS(AND(K1092="Broker",J1092="Resale"),F1092*0.5,AND(K1092="Owner",J1092="Resale"),F1092*0,AND(K1092="Builder",J1092="Resale"),F1092*0.3,AND(J1092="New",K1092="Broker"),F1092*0.1,AND(J1092="New",K1092="Owner"),F1092*0,AND(J1092="New",K1092="Builder"),F1092*0.5)</f>
        <v>2305662.5</v>
      </c>
    </row>
    <row r="1093" spans="1:15" x14ac:dyDescent="0.3">
      <c r="A1093" s="8" t="s">
        <v>1168</v>
      </c>
      <c r="B1093" s="4" t="s">
        <v>1156</v>
      </c>
      <c r="C1093" s="4" t="s">
        <v>1169</v>
      </c>
      <c r="D1093" s="4">
        <v>4</v>
      </c>
      <c r="E1093" s="4">
        <v>1640</v>
      </c>
      <c r="F1093" s="4">
        <v>7206429</v>
      </c>
      <c r="G1093" s="4">
        <v>3</v>
      </c>
      <c r="H1093" s="4">
        <v>3</v>
      </c>
      <c r="I1093" s="4" t="s">
        <v>8</v>
      </c>
      <c r="J1093" s="4" t="s">
        <v>23</v>
      </c>
      <c r="K1093" s="4" t="s">
        <v>24</v>
      </c>
      <c r="L1093" s="9">
        <v>45749</v>
      </c>
      <c r="M1093" s="9" t="str">
        <f>TEXT(Source_data[[#This Row],[Listing_Date]],"mmm-yy")</f>
        <v>Apr-25</v>
      </c>
      <c r="N1093" s="4">
        <f t="shared" si="17"/>
        <v>4394.1640243902439</v>
      </c>
      <c r="O1093" s="3" cm="1">
        <f t="array" ref="O1093">_xlfn.IFS(AND(K1093="Broker",J1093="Resale"),F1093*0.5,AND(K1093="Owner",J1093="Resale"),F1093*0,AND(K1093="Builder",J1093="Resale"),F1093*0.3,AND(J1093="New",K1093="Broker"),F1093*0.1,AND(J1093="New",K1093="Owner"),F1093*0,AND(J1093="New",K1093="Builder"),F1093*0.5)</f>
        <v>2161928.6999999997</v>
      </c>
    </row>
    <row r="1094" spans="1:15" x14ac:dyDescent="0.3">
      <c r="A1094" s="8" t="s">
        <v>1170</v>
      </c>
      <c r="B1094" s="4" t="s">
        <v>1156</v>
      </c>
      <c r="C1094" s="4" t="s">
        <v>1169</v>
      </c>
      <c r="D1094" s="4">
        <v>5</v>
      </c>
      <c r="E1094" s="4">
        <v>2189</v>
      </c>
      <c r="F1094" s="4">
        <v>11758491</v>
      </c>
      <c r="G1094" s="4">
        <v>3</v>
      </c>
      <c r="H1094" s="4">
        <v>1</v>
      </c>
      <c r="I1094" s="4" t="s">
        <v>8</v>
      </c>
      <c r="J1094" s="4" t="s">
        <v>23</v>
      </c>
      <c r="K1094" s="4" t="s">
        <v>24</v>
      </c>
      <c r="L1094" s="9">
        <v>45813</v>
      </c>
      <c r="M1094" s="9" t="str">
        <f>TEXT(Source_data[[#This Row],[Listing_Date]],"mmm-yy")</f>
        <v>Jun-25</v>
      </c>
      <c r="N1094" s="4">
        <f t="shared" si="17"/>
        <v>5371.6267702147097</v>
      </c>
      <c r="O1094" s="3" cm="1">
        <f t="array" ref="O1094">_xlfn.IFS(AND(K1094="Broker",J1094="Resale"),F1094*0.5,AND(K1094="Owner",J1094="Resale"),F1094*0,AND(K1094="Builder",J1094="Resale"),F1094*0.3,AND(J1094="New",K1094="Broker"),F1094*0.1,AND(J1094="New",K1094="Owner"),F1094*0,AND(J1094="New",K1094="Builder"),F1094*0.5)</f>
        <v>3527547.3</v>
      </c>
    </row>
    <row r="1095" spans="1:15" x14ac:dyDescent="0.3">
      <c r="A1095" s="8" t="s">
        <v>1171</v>
      </c>
      <c r="B1095" s="4" t="s">
        <v>1156</v>
      </c>
      <c r="C1095" s="4" t="s">
        <v>1167</v>
      </c>
      <c r="D1095" s="4">
        <v>2</v>
      </c>
      <c r="E1095" s="4">
        <v>1073</v>
      </c>
      <c r="F1095" s="4">
        <v>3943796</v>
      </c>
      <c r="G1095" s="4">
        <v>3</v>
      </c>
      <c r="H1095" s="4">
        <v>0</v>
      </c>
      <c r="I1095" s="4" t="s">
        <v>27</v>
      </c>
      <c r="J1095" s="4" t="s">
        <v>23</v>
      </c>
      <c r="K1095" s="4" t="s">
        <v>36</v>
      </c>
      <c r="L1095" s="9">
        <v>45774</v>
      </c>
      <c r="M1095" s="9" t="str">
        <f>TEXT(Source_data[[#This Row],[Listing_Date]],"mmm-yy")</f>
        <v>Apr-25</v>
      </c>
      <c r="N1095" s="4">
        <f t="shared" si="17"/>
        <v>3675.4855545200371</v>
      </c>
      <c r="O1095" s="3" cm="1">
        <f t="array" ref="O1095">_xlfn.IFS(AND(K1095="Broker",J1095="Resale"),F1095*0.5,AND(K1095="Owner",J1095="Resale"),F1095*0,AND(K1095="Builder",J1095="Resale"),F1095*0.3,AND(J1095="New",K1095="Broker"),F1095*0.1,AND(J1095="New",K1095="Owner"),F1095*0,AND(J1095="New",K1095="Builder"),F1095*0.5)</f>
        <v>0</v>
      </c>
    </row>
    <row r="1096" spans="1:15" x14ac:dyDescent="0.3">
      <c r="A1096" s="8" t="s">
        <v>1172</v>
      </c>
      <c r="B1096" s="4" t="s">
        <v>1156</v>
      </c>
      <c r="C1096" s="4" t="s">
        <v>1160</v>
      </c>
      <c r="D1096" s="4">
        <v>3</v>
      </c>
      <c r="E1096" s="4">
        <v>1377</v>
      </c>
      <c r="F1096" s="4">
        <v>6835075</v>
      </c>
      <c r="G1096" s="4">
        <v>3</v>
      </c>
      <c r="H1096" s="4">
        <v>0</v>
      </c>
      <c r="I1096" s="4" t="s">
        <v>27</v>
      </c>
      <c r="J1096" s="4" t="s">
        <v>19</v>
      </c>
      <c r="K1096" s="4" t="s">
        <v>24</v>
      </c>
      <c r="L1096" s="9">
        <v>45077</v>
      </c>
      <c r="M1096" s="9" t="str">
        <f>TEXT(Source_data[[#This Row],[Listing_Date]],"mmm-yy")</f>
        <v>May-23</v>
      </c>
      <c r="N1096" s="4">
        <f t="shared" si="17"/>
        <v>4963.7436456063906</v>
      </c>
      <c r="O1096" s="3" cm="1">
        <f t="array" ref="O1096">_xlfn.IFS(AND(K1096="Broker",J1096="Resale"),F1096*0.5,AND(K1096="Owner",J1096="Resale"),F1096*0,AND(K1096="Builder",J1096="Resale"),F1096*0.3,AND(J1096="New",K1096="Broker"),F1096*0.1,AND(J1096="New",K1096="Owner"),F1096*0,AND(J1096="New",K1096="Builder"),F1096*0.5)</f>
        <v>3417537.5</v>
      </c>
    </row>
    <row r="1097" spans="1:15" x14ac:dyDescent="0.3">
      <c r="A1097" s="8" t="s">
        <v>1173</v>
      </c>
      <c r="B1097" s="4" t="s">
        <v>1156</v>
      </c>
      <c r="C1097" s="4" t="s">
        <v>1169</v>
      </c>
      <c r="D1097" s="4">
        <v>3</v>
      </c>
      <c r="E1097" s="4">
        <v>1277</v>
      </c>
      <c r="F1097" s="4">
        <v>8616322</v>
      </c>
      <c r="G1097" s="4">
        <v>2</v>
      </c>
      <c r="H1097" s="4">
        <v>2</v>
      </c>
      <c r="I1097" s="4" t="s">
        <v>8</v>
      </c>
      <c r="J1097" s="4" t="s">
        <v>23</v>
      </c>
      <c r="K1097" s="4" t="s">
        <v>36</v>
      </c>
      <c r="L1097" s="9">
        <v>45695</v>
      </c>
      <c r="M1097" s="9" t="str">
        <f>TEXT(Source_data[[#This Row],[Listing_Date]],"mmm-yy")</f>
        <v>Feb-25</v>
      </c>
      <c r="N1097" s="4">
        <f t="shared" si="17"/>
        <v>6747.3155833985902</v>
      </c>
      <c r="O1097" s="3" cm="1">
        <f t="array" ref="O1097">_xlfn.IFS(AND(K1097="Broker",J1097="Resale"),F1097*0.5,AND(K1097="Owner",J1097="Resale"),F1097*0,AND(K1097="Builder",J1097="Resale"),F1097*0.3,AND(J1097="New",K1097="Broker"),F1097*0.1,AND(J1097="New",K1097="Owner"),F1097*0,AND(J1097="New",K1097="Builder"),F1097*0.5)</f>
        <v>0</v>
      </c>
    </row>
    <row r="1098" spans="1:15" x14ac:dyDescent="0.3">
      <c r="A1098" s="8" t="s">
        <v>1174</v>
      </c>
      <c r="B1098" s="4" t="s">
        <v>1156</v>
      </c>
      <c r="C1098" s="4" t="s">
        <v>1160</v>
      </c>
      <c r="D1098" s="4">
        <v>1</v>
      </c>
      <c r="E1098" s="4">
        <v>401</v>
      </c>
      <c r="F1098" s="4">
        <v>1947909</v>
      </c>
      <c r="G1098" s="4">
        <v>1</v>
      </c>
      <c r="H1098" s="4">
        <v>2</v>
      </c>
      <c r="I1098" s="4" t="s">
        <v>8</v>
      </c>
      <c r="J1098" s="4" t="s">
        <v>23</v>
      </c>
      <c r="K1098" s="4" t="s">
        <v>24</v>
      </c>
      <c r="L1098" s="9">
        <v>45370</v>
      </c>
      <c r="M1098" s="9" t="str">
        <f>TEXT(Source_data[[#This Row],[Listing_Date]],"mmm-yy")</f>
        <v>Mar-24</v>
      </c>
      <c r="N1098" s="4">
        <f t="shared" si="17"/>
        <v>4857.6284289276809</v>
      </c>
      <c r="O1098" s="3" cm="1">
        <f t="array" ref="O1098">_xlfn.IFS(AND(K1098="Broker",J1098="Resale"),F1098*0.5,AND(K1098="Owner",J1098="Resale"),F1098*0,AND(K1098="Builder",J1098="Resale"),F1098*0.3,AND(J1098="New",K1098="Broker"),F1098*0.1,AND(J1098="New",K1098="Owner"),F1098*0,AND(J1098="New",K1098="Builder"),F1098*0.5)</f>
        <v>584372.69999999995</v>
      </c>
    </row>
    <row r="1099" spans="1:15" x14ac:dyDescent="0.3">
      <c r="A1099" s="8" t="s">
        <v>1175</v>
      </c>
      <c r="B1099" s="4" t="s">
        <v>1156</v>
      </c>
      <c r="C1099" s="4" t="s">
        <v>1157</v>
      </c>
      <c r="D1099" s="4">
        <v>3</v>
      </c>
      <c r="E1099" s="4">
        <v>1346</v>
      </c>
      <c r="F1099" s="4">
        <v>7201270</v>
      </c>
      <c r="G1099" s="4">
        <v>3</v>
      </c>
      <c r="H1099" s="4">
        <v>1</v>
      </c>
      <c r="I1099" s="4" t="s">
        <v>27</v>
      </c>
      <c r="J1099" s="4" t="s">
        <v>23</v>
      </c>
      <c r="K1099" s="4" t="s">
        <v>20</v>
      </c>
      <c r="L1099" s="9">
        <v>45176</v>
      </c>
      <c r="M1099" s="9" t="str">
        <f>TEXT(Source_data[[#This Row],[Listing_Date]],"mmm-yy")</f>
        <v>Sep-23</v>
      </c>
      <c r="N1099" s="4">
        <f t="shared" si="17"/>
        <v>5350.1263001485886</v>
      </c>
      <c r="O1099" s="3" cm="1">
        <f t="array" ref="O1099">_xlfn.IFS(AND(K1099="Broker",J1099="Resale"),F1099*0.5,AND(K1099="Owner",J1099="Resale"),F1099*0,AND(K1099="Builder",J1099="Resale"),F1099*0.3,AND(J1099="New",K1099="Broker"),F1099*0.1,AND(J1099="New",K1099="Owner"),F1099*0,AND(J1099="New",K1099="Builder"),F1099*0.5)</f>
        <v>3600635</v>
      </c>
    </row>
    <row r="1100" spans="1:15" x14ac:dyDescent="0.3">
      <c r="A1100" s="8" t="s">
        <v>1176</v>
      </c>
      <c r="B1100" s="4" t="s">
        <v>1156</v>
      </c>
      <c r="C1100" s="4" t="s">
        <v>1160</v>
      </c>
      <c r="D1100" s="4">
        <v>3</v>
      </c>
      <c r="E1100" s="4">
        <v>1564</v>
      </c>
      <c r="F1100" s="4">
        <v>18413902</v>
      </c>
      <c r="G1100" s="4">
        <v>3</v>
      </c>
      <c r="H1100" s="4">
        <v>3</v>
      </c>
      <c r="I1100" s="4" t="s">
        <v>67</v>
      </c>
      <c r="J1100" s="4" t="s">
        <v>23</v>
      </c>
      <c r="K1100" s="4" t="s">
        <v>20</v>
      </c>
      <c r="L1100" s="9">
        <v>45017</v>
      </c>
      <c r="M1100" s="9" t="str">
        <f>TEXT(Source_data[[#This Row],[Listing_Date]],"mmm-yy")</f>
        <v>Apr-23</v>
      </c>
      <c r="N1100" s="4">
        <f t="shared" si="17"/>
        <v>11773.59462915601</v>
      </c>
      <c r="O1100" s="3" cm="1">
        <f t="array" ref="O1100">_xlfn.IFS(AND(K1100="Broker",J1100="Resale"),F1100*0.5,AND(K1100="Owner",J1100="Resale"),F1100*0,AND(K1100="Builder",J1100="Resale"),F1100*0.3,AND(J1100="New",K1100="Broker"),F1100*0.1,AND(J1100="New",K1100="Owner"),F1100*0,AND(J1100="New",K1100="Builder"),F1100*0.5)</f>
        <v>9206951</v>
      </c>
    </row>
    <row r="1101" spans="1:15" x14ac:dyDescent="0.3">
      <c r="A1101" s="8" t="s">
        <v>1177</v>
      </c>
      <c r="B1101" s="4" t="s">
        <v>1156</v>
      </c>
      <c r="C1101" s="4" t="s">
        <v>1167</v>
      </c>
      <c r="D1101" s="4">
        <v>3</v>
      </c>
      <c r="E1101" s="4">
        <v>1322</v>
      </c>
      <c r="F1101" s="4">
        <v>7115271</v>
      </c>
      <c r="G1101" s="4">
        <v>3</v>
      </c>
      <c r="H1101" s="4">
        <v>1</v>
      </c>
      <c r="I1101" s="4" t="s">
        <v>8</v>
      </c>
      <c r="J1101" s="4" t="s">
        <v>19</v>
      </c>
      <c r="K1101" s="4" t="s">
        <v>36</v>
      </c>
      <c r="L1101" s="9">
        <v>44984</v>
      </c>
      <c r="M1101" s="9" t="str">
        <f>TEXT(Source_data[[#This Row],[Listing_Date]],"mmm-yy")</f>
        <v>Feb-23</v>
      </c>
      <c r="N1101" s="4">
        <f t="shared" si="17"/>
        <v>5382.2019667170953</v>
      </c>
      <c r="O1101" s="3" cm="1">
        <f t="array" ref="O1101">_xlfn.IFS(AND(K1101="Broker",J1101="Resale"),F1101*0.5,AND(K1101="Owner",J1101="Resale"),F1101*0,AND(K1101="Builder",J1101="Resale"),F1101*0.3,AND(J1101="New",K1101="Broker"),F1101*0.1,AND(J1101="New",K1101="Owner"),F1101*0,AND(J1101="New",K1101="Builder"),F1101*0.5)</f>
        <v>0</v>
      </c>
    </row>
    <row r="1102" spans="1:15" x14ac:dyDescent="0.3">
      <c r="A1102" s="8" t="s">
        <v>1178</v>
      </c>
      <c r="B1102" s="4" t="s">
        <v>1156</v>
      </c>
      <c r="C1102" s="4" t="s">
        <v>1160</v>
      </c>
      <c r="D1102" s="4">
        <v>1</v>
      </c>
      <c r="E1102" s="4">
        <v>747</v>
      </c>
      <c r="F1102" s="4">
        <v>4517863</v>
      </c>
      <c r="G1102" s="4">
        <v>1</v>
      </c>
      <c r="H1102" s="4">
        <v>3</v>
      </c>
      <c r="I1102" s="4" t="s">
        <v>8</v>
      </c>
      <c r="J1102" s="4" t="s">
        <v>23</v>
      </c>
      <c r="K1102" s="4" t="s">
        <v>20</v>
      </c>
      <c r="L1102" s="9">
        <v>45212</v>
      </c>
      <c r="M1102" s="9" t="str">
        <f>TEXT(Source_data[[#This Row],[Listing_Date]],"mmm-yy")</f>
        <v>Oct-23</v>
      </c>
      <c r="N1102" s="4">
        <f t="shared" si="17"/>
        <v>6048.0093708165996</v>
      </c>
      <c r="O1102" s="3" cm="1">
        <f t="array" ref="O1102">_xlfn.IFS(AND(K1102="Broker",J1102="Resale"),F1102*0.5,AND(K1102="Owner",J1102="Resale"),F1102*0,AND(K1102="Builder",J1102="Resale"),F1102*0.3,AND(J1102="New",K1102="Broker"),F1102*0.1,AND(J1102="New",K1102="Owner"),F1102*0,AND(J1102="New",K1102="Builder"),F1102*0.5)</f>
        <v>2258931.5</v>
      </c>
    </row>
    <row r="1103" spans="1:15" x14ac:dyDescent="0.3">
      <c r="A1103" s="8" t="s">
        <v>1179</v>
      </c>
      <c r="B1103" s="4" t="s">
        <v>1156</v>
      </c>
      <c r="C1103" s="4" t="s">
        <v>1169</v>
      </c>
      <c r="D1103" s="4">
        <v>3</v>
      </c>
      <c r="E1103" s="4">
        <v>1897</v>
      </c>
      <c r="F1103" s="4">
        <v>11551313</v>
      </c>
      <c r="G1103" s="4">
        <v>4</v>
      </c>
      <c r="H1103" s="4">
        <v>2</v>
      </c>
      <c r="I1103" s="4" t="s">
        <v>8</v>
      </c>
      <c r="J1103" s="4" t="s">
        <v>23</v>
      </c>
      <c r="K1103" s="4" t="s">
        <v>20</v>
      </c>
      <c r="L1103" s="9">
        <v>45350</v>
      </c>
      <c r="M1103" s="9" t="str">
        <f>TEXT(Source_data[[#This Row],[Listing_Date]],"mmm-yy")</f>
        <v>Feb-24</v>
      </c>
      <c r="N1103" s="4">
        <f t="shared" si="17"/>
        <v>6089.2530311017399</v>
      </c>
      <c r="O1103" s="3" cm="1">
        <f t="array" ref="O1103">_xlfn.IFS(AND(K1103="Broker",J1103="Resale"),F1103*0.5,AND(K1103="Owner",J1103="Resale"),F1103*0,AND(K1103="Builder",J1103="Resale"),F1103*0.3,AND(J1103="New",K1103="Broker"),F1103*0.1,AND(J1103="New",K1103="Owner"),F1103*0,AND(J1103="New",K1103="Builder"),F1103*0.5)</f>
        <v>5775656.5</v>
      </c>
    </row>
    <row r="1104" spans="1:15" x14ac:dyDescent="0.3">
      <c r="A1104" s="8" t="s">
        <v>1180</v>
      </c>
      <c r="B1104" s="4" t="s">
        <v>1156</v>
      </c>
      <c r="C1104" s="4" t="s">
        <v>1169</v>
      </c>
      <c r="D1104" s="4">
        <v>2</v>
      </c>
      <c r="E1104" s="4">
        <v>796</v>
      </c>
      <c r="F1104" s="4">
        <v>4272077</v>
      </c>
      <c r="G1104" s="4">
        <v>3</v>
      </c>
      <c r="H1104" s="4">
        <v>2</v>
      </c>
      <c r="I1104" s="4" t="s">
        <v>8</v>
      </c>
      <c r="J1104" s="4" t="s">
        <v>23</v>
      </c>
      <c r="K1104" s="4" t="s">
        <v>24</v>
      </c>
      <c r="L1104" s="9">
        <v>45775</v>
      </c>
      <c r="M1104" s="9" t="str">
        <f>TEXT(Source_data[[#This Row],[Listing_Date]],"mmm-yy")</f>
        <v>Apr-25</v>
      </c>
      <c r="N1104" s="4">
        <f t="shared" si="17"/>
        <v>5366.9309045226128</v>
      </c>
      <c r="O1104" s="3" cm="1">
        <f t="array" ref="O1104">_xlfn.IFS(AND(K1104="Broker",J1104="Resale"),F1104*0.5,AND(K1104="Owner",J1104="Resale"),F1104*0,AND(K1104="Builder",J1104="Resale"),F1104*0.3,AND(J1104="New",K1104="Broker"),F1104*0.1,AND(J1104="New",K1104="Owner"),F1104*0,AND(J1104="New",K1104="Builder"),F1104*0.5)</f>
        <v>1281623.0999999999</v>
      </c>
    </row>
    <row r="1105" spans="1:15" x14ac:dyDescent="0.3">
      <c r="A1105" s="8" t="s">
        <v>1181</v>
      </c>
      <c r="B1105" s="4" t="s">
        <v>1156</v>
      </c>
      <c r="C1105" s="4" t="s">
        <v>1167</v>
      </c>
      <c r="D1105" s="4">
        <v>3</v>
      </c>
      <c r="E1105" s="4">
        <v>2035</v>
      </c>
      <c r="F1105" s="4">
        <v>10799463</v>
      </c>
      <c r="G1105" s="4">
        <v>3</v>
      </c>
      <c r="H1105" s="4">
        <v>1</v>
      </c>
      <c r="I1105" s="4" t="s">
        <v>8</v>
      </c>
      <c r="J1105" s="4" t="s">
        <v>23</v>
      </c>
      <c r="K1105" s="4" t="s">
        <v>24</v>
      </c>
      <c r="L1105" s="9">
        <v>45002</v>
      </c>
      <c r="M1105" s="9" t="str">
        <f>TEXT(Source_data[[#This Row],[Listing_Date]],"mmm-yy")</f>
        <v>Mar-23</v>
      </c>
      <c r="N1105" s="4">
        <f t="shared" si="17"/>
        <v>5306.8614250614255</v>
      </c>
      <c r="O1105" s="3" cm="1">
        <f t="array" ref="O1105">_xlfn.IFS(AND(K1105="Broker",J1105="Resale"),F1105*0.5,AND(K1105="Owner",J1105="Resale"),F1105*0,AND(K1105="Builder",J1105="Resale"),F1105*0.3,AND(J1105="New",K1105="Broker"),F1105*0.1,AND(J1105="New",K1105="Owner"),F1105*0,AND(J1105="New",K1105="Builder"),F1105*0.5)</f>
        <v>3239838.9</v>
      </c>
    </row>
    <row r="1106" spans="1:15" x14ac:dyDescent="0.3">
      <c r="A1106" s="8" t="s">
        <v>1182</v>
      </c>
      <c r="B1106" s="4" t="s">
        <v>1156</v>
      </c>
      <c r="C1106" s="4" t="s">
        <v>1157</v>
      </c>
      <c r="D1106" s="4">
        <v>3</v>
      </c>
      <c r="E1106" s="4">
        <v>1576</v>
      </c>
      <c r="F1106" s="4">
        <v>9654049</v>
      </c>
      <c r="G1106" s="4">
        <v>3</v>
      </c>
      <c r="H1106" s="4">
        <v>1</v>
      </c>
      <c r="I1106" s="4" t="s">
        <v>27</v>
      </c>
      <c r="J1106" s="4" t="s">
        <v>19</v>
      </c>
      <c r="K1106" s="4" t="s">
        <v>24</v>
      </c>
      <c r="L1106" s="9">
        <v>45458</v>
      </c>
      <c r="M1106" s="9" t="str">
        <f>TEXT(Source_data[[#This Row],[Listing_Date]],"mmm-yy")</f>
        <v>Jun-24</v>
      </c>
      <c r="N1106" s="4">
        <f t="shared" si="17"/>
        <v>6125.665609137056</v>
      </c>
      <c r="O1106" s="3" cm="1">
        <f t="array" ref="O1106">_xlfn.IFS(AND(K1106="Broker",J1106="Resale"),F1106*0.5,AND(K1106="Owner",J1106="Resale"),F1106*0,AND(K1106="Builder",J1106="Resale"),F1106*0.3,AND(J1106="New",K1106="Broker"),F1106*0.1,AND(J1106="New",K1106="Owner"),F1106*0,AND(J1106="New",K1106="Builder"),F1106*0.5)</f>
        <v>4827024.5</v>
      </c>
    </row>
    <row r="1107" spans="1:15" x14ac:dyDescent="0.3">
      <c r="A1107" s="8" t="s">
        <v>1183</v>
      </c>
      <c r="B1107" s="4" t="s">
        <v>1156</v>
      </c>
      <c r="C1107" s="4" t="s">
        <v>1167</v>
      </c>
      <c r="D1107" s="4">
        <v>2</v>
      </c>
      <c r="E1107" s="4">
        <v>993</v>
      </c>
      <c r="F1107" s="4">
        <v>4270431</v>
      </c>
      <c r="G1107" s="4">
        <v>2</v>
      </c>
      <c r="H1107" s="4">
        <v>3</v>
      </c>
      <c r="I1107" s="4" t="s">
        <v>8</v>
      </c>
      <c r="J1107" s="4" t="s">
        <v>19</v>
      </c>
      <c r="K1107" s="4" t="s">
        <v>24</v>
      </c>
      <c r="L1107" s="9">
        <v>45359</v>
      </c>
      <c r="M1107" s="9" t="str">
        <f>TEXT(Source_data[[#This Row],[Listing_Date]],"mmm-yy")</f>
        <v>Mar-24</v>
      </c>
      <c r="N1107" s="4">
        <f t="shared" si="17"/>
        <v>4300.5347432024173</v>
      </c>
      <c r="O1107" s="3" cm="1">
        <f t="array" ref="O1107">_xlfn.IFS(AND(K1107="Broker",J1107="Resale"),F1107*0.5,AND(K1107="Owner",J1107="Resale"),F1107*0,AND(K1107="Builder",J1107="Resale"),F1107*0.3,AND(J1107="New",K1107="Broker"),F1107*0.1,AND(J1107="New",K1107="Owner"),F1107*0,AND(J1107="New",K1107="Builder"),F1107*0.5)</f>
        <v>2135215.5</v>
      </c>
    </row>
    <row r="1108" spans="1:15" x14ac:dyDescent="0.3">
      <c r="A1108" s="8" t="s">
        <v>1184</v>
      </c>
      <c r="B1108" s="4" t="s">
        <v>1156</v>
      </c>
      <c r="C1108" s="4" t="s">
        <v>1164</v>
      </c>
      <c r="D1108" s="4">
        <v>3</v>
      </c>
      <c r="E1108" s="4">
        <v>1399</v>
      </c>
      <c r="F1108" s="4">
        <v>7119515</v>
      </c>
      <c r="G1108" s="4">
        <v>2</v>
      </c>
      <c r="H1108" s="4">
        <v>2</v>
      </c>
      <c r="I1108" s="4" t="s">
        <v>8</v>
      </c>
      <c r="J1108" s="4" t="s">
        <v>19</v>
      </c>
      <c r="K1108" s="4" t="s">
        <v>24</v>
      </c>
      <c r="L1108" s="9">
        <v>45262</v>
      </c>
      <c r="M1108" s="9" t="str">
        <f>TEXT(Source_data[[#This Row],[Listing_Date]],"mmm-yy")</f>
        <v>Dec-23</v>
      </c>
      <c r="N1108" s="4">
        <f t="shared" si="17"/>
        <v>5089.0028591851324</v>
      </c>
      <c r="O1108" s="3" cm="1">
        <f t="array" ref="O1108">_xlfn.IFS(AND(K1108="Broker",J1108="Resale"),F1108*0.5,AND(K1108="Owner",J1108="Resale"),F1108*0,AND(K1108="Builder",J1108="Resale"),F1108*0.3,AND(J1108="New",K1108="Broker"),F1108*0.1,AND(J1108="New",K1108="Owner"),F1108*0,AND(J1108="New",K1108="Builder"),F1108*0.5)</f>
        <v>3559757.5</v>
      </c>
    </row>
    <row r="1109" spans="1:15" x14ac:dyDescent="0.3">
      <c r="A1109" s="8" t="s">
        <v>1185</v>
      </c>
      <c r="B1109" s="4" t="s">
        <v>1156</v>
      </c>
      <c r="C1109" s="4" t="s">
        <v>1167</v>
      </c>
      <c r="D1109" s="4">
        <v>1</v>
      </c>
      <c r="E1109" s="4">
        <v>493</v>
      </c>
      <c r="F1109" s="4">
        <v>2328997</v>
      </c>
      <c r="G1109" s="4">
        <v>1</v>
      </c>
      <c r="H1109" s="4">
        <v>1</v>
      </c>
      <c r="I1109" s="4" t="s">
        <v>27</v>
      </c>
      <c r="J1109" s="4" t="s">
        <v>19</v>
      </c>
      <c r="K1109" s="4" t="s">
        <v>24</v>
      </c>
      <c r="L1109" s="9">
        <v>44980</v>
      </c>
      <c r="M1109" s="9" t="str">
        <f>TEXT(Source_data[[#This Row],[Listing_Date]],"mmm-yy")</f>
        <v>Feb-23</v>
      </c>
      <c r="N1109" s="4">
        <f t="shared" si="17"/>
        <v>4724.1318458417854</v>
      </c>
      <c r="O1109" s="3" cm="1">
        <f t="array" ref="O1109">_xlfn.IFS(AND(K1109="Broker",J1109="Resale"),F1109*0.5,AND(K1109="Owner",J1109="Resale"),F1109*0,AND(K1109="Builder",J1109="Resale"),F1109*0.3,AND(J1109="New",K1109="Broker"),F1109*0.1,AND(J1109="New",K1109="Owner"),F1109*0,AND(J1109="New",K1109="Builder"),F1109*0.5)</f>
        <v>1164498.5</v>
      </c>
    </row>
    <row r="1110" spans="1:15" x14ac:dyDescent="0.3">
      <c r="A1110" s="8" t="s">
        <v>1186</v>
      </c>
      <c r="B1110" s="4" t="s">
        <v>1156</v>
      </c>
      <c r="C1110" s="4" t="s">
        <v>1164</v>
      </c>
      <c r="D1110" s="4">
        <v>2</v>
      </c>
      <c r="E1110" s="4">
        <v>824</v>
      </c>
      <c r="F1110" s="4">
        <v>4433488</v>
      </c>
      <c r="G1110" s="4">
        <v>2</v>
      </c>
      <c r="H1110" s="4">
        <v>2</v>
      </c>
      <c r="I1110" s="4" t="s">
        <v>27</v>
      </c>
      <c r="J1110" s="4" t="s">
        <v>23</v>
      </c>
      <c r="K1110" s="4" t="s">
        <v>20</v>
      </c>
      <c r="L1110" s="9">
        <v>45824</v>
      </c>
      <c r="M1110" s="9" t="str">
        <f>TEXT(Source_data[[#This Row],[Listing_Date]],"mmm-yy")</f>
        <v>Jun-25</v>
      </c>
      <c r="N1110" s="4">
        <f t="shared" si="17"/>
        <v>5380.4466019417478</v>
      </c>
      <c r="O1110" s="3" cm="1">
        <f t="array" ref="O1110">_xlfn.IFS(AND(K1110="Broker",J1110="Resale"),F1110*0.5,AND(K1110="Owner",J1110="Resale"),F1110*0,AND(K1110="Builder",J1110="Resale"),F1110*0.3,AND(J1110="New",K1110="Broker"),F1110*0.1,AND(J1110="New",K1110="Owner"),F1110*0,AND(J1110="New",K1110="Builder"),F1110*0.5)</f>
        <v>2216744</v>
      </c>
    </row>
    <row r="1111" spans="1:15" x14ac:dyDescent="0.3">
      <c r="A1111" s="8" t="s">
        <v>1187</v>
      </c>
      <c r="B1111" s="4" t="s">
        <v>1156</v>
      </c>
      <c r="C1111" s="4" t="s">
        <v>1162</v>
      </c>
      <c r="D1111" s="4">
        <v>2</v>
      </c>
      <c r="E1111" s="4">
        <v>703</v>
      </c>
      <c r="F1111" s="4">
        <v>4168099</v>
      </c>
      <c r="G1111" s="4">
        <v>2</v>
      </c>
      <c r="H1111" s="4">
        <v>2</v>
      </c>
      <c r="I1111" s="4" t="s">
        <v>27</v>
      </c>
      <c r="J1111" s="4" t="s">
        <v>19</v>
      </c>
      <c r="K1111" s="4" t="s">
        <v>20</v>
      </c>
      <c r="L1111" s="9">
        <v>45718</v>
      </c>
      <c r="M1111" s="9" t="str">
        <f>TEXT(Source_data[[#This Row],[Listing_Date]],"mmm-yy")</f>
        <v>Mar-25</v>
      </c>
      <c r="N1111" s="4">
        <f t="shared" si="17"/>
        <v>5929.01706970128</v>
      </c>
      <c r="O1111" s="3" cm="1">
        <f t="array" ref="O1111">_xlfn.IFS(AND(K1111="Broker",J1111="Resale"),F1111*0.5,AND(K1111="Owner",J1111="Resale"),F1111*0,AND(K1111="Builder",J1111="Resale"),F1111*0.3,AND(J1111="New",K1111="Broker"),F1111*0.1,AND(J1111="New",K1111="Owner"),F1111*0,AND(J1111="New",K1111="Builder"),F1111*0.5)</f>
        <v>416809.9</v>
      </c>
    </row>
    <row r="1112" spans="1:15" x14ac:dyDescent="0.3">
      <c r="A1112" s="8" t="s">
        <v>1188</v>
      </c>
      <c r="B1112" s="4" t="s">
        <v>1156</v>
      </c>
      <c r="C1112" s="4" t="s">
        <v>1157</v>
      </c>
      <c r="D1112" s="4">
        <v>2</v>
      </c>
      <c r="E1112" s="4">
        <v>475</v>
      </c>
      <c r="F1112" s="4">
        <v>2061668</v>
      </c>
      <c r="G1112" s="4">
        <v>2</v>
      </c>
      <c r="H1112" s="4">
        <v>0</v>
      </c>
      <c r="I1112" s="4" t="s">
        <v>18</v>
      </c>
      <c r="J1112" s="4" t="s">
        <v>23</v>
      </c>
      <c r="K1112" s="4" t="s">
        <v>36</v>
      </c>
      <c r="L1112" s="9">
        <v>44973</v>
      </c>
      <c r="M1112" s="9" t="str">
        <f>TEXT(Source_data[[#This Row],[Listing_Date]],"mmm-yy")</f>
        <v>Feb-23</v>
      </c>
      <c r="N1112" s="4">
        <f t="shared" si="17"/>
        <v>4340.3536842105259</v>
      </c>
      <c r="O1112" s="3" cm="1">
        <f t="array" ref="O1112">_xlfn.IFS(AND(K1112="Broker",J1112="Resale"),F1112*0.5,AND(K1112="Owner",J1112="Resale"),F1112*0,AND(K1112="Builder",J1112="Resale"),F1112*0.3,AND(J1112="New",K1112="Broker"),F1112*0.1,AND(J1112="New",K1112="Owner"),F1112*0,AND(J1112="New",K1112="Builder"),F1112*0.5)</f>
        <v>0</v>
      </c>
    </row>
    <row r="1113" spans="1:15" x14ac:dyDescent="0.3">
      <c r="A1113" s="8" t="s">
        <v>1189</v>
      </c>
      <c r="B1113" s="4" t="s">
        <v>1156</v>
      </c>
      <c r="C1113" s="4" t="s">
        <v>1167</v>
      </c>
      <c r="D1113" s="4">
        <v>2</v>
      </c>
      <c r="E1113" s="4">
        <v>1204</v>
      </c>
      <c r="F1113" s="4">
        <v>12066956</v>
      </c>
      <c r="G1113" s="4">
        <v>2</v>
      </c>
      <c r="H1113" s="4">
        <v>2</v>
      </c>
      <c r="I1113" s="4" t="s">
        <v>8</v>
      </c>
      <c r="J1113" s="4" t="s">
        <v>19</v>
      </c>
      <c r="K1113" s="4" t="s">
        <v>24</v>
      </c>
      <c r="L1113" s="9">
        <v>45136</v>
      </c>
      <c r="M1113" s="9" t="str">
        <f>TEXT(Source_data[[#This Row],[Listing_Date]],"mmm-yy")</f>
        <v>Jul-23</v>
      </c>
      <c r="N1113" s="4">
        <f t="shared" si="17"/>
        <v>10022.388704318937</v>
      </c>
      <c r="O1113" s="3" cm="1">
        <f t="array" ref="O1113">_xlfn.IFS(AND(K1113="Broker",J1113="Resale"),F1113*0.5,AND(K1113="Owner",J1113="Resale"),F1113*0,AND(K1113="Builder",J1113="Resale"),F1113*0.3,AND(J1113="New",K1113="Broker"),F1113*0.1,AND(J1113="New",K1113="Owner"),F1113*0,AND(J1113="New",K1113="Builder"),F1113*0.5)</f>
        <v>6033478</v>
      </c>
    </row>
    <row r="1114" spans="1:15" x14ac:dyDescent="0.3">
      <c r="A1114" s="8" t="s">
        <v>1190</v>
      </c>
      <c r="B1114" s="4" t="s">
        <v>1156</v>
      </c>
      <c r="C1114" s="4" t="s">
        <v>1157</v>
      </c>
      <c r="D1114" s="4">
        <v>1</v>
      </c>
      <c r="E1114" s="4">
        <v>570</v>
      </c>
      <c r="F1114" s="4">
        <v>3533796</v>
      </c>
      <c r="G1114" s="4">
        <v>1</v>
      </c>
      <c r="H1114" s="4">
        <v>0</v>
      </c>
      <c r="I1114" s="4" t="s">
        <v>18</v>
      </c>
      <c r="J1114" s="4" t="s">
        <v>23</v>
      </c>
      <c r="K1114" s="4" t="s">
        <v>36</v>
      </c>
      <c r="L1114" s="9">
        <v>45721</v>
      </c>
      <c r="M1114" s="9" t="str">
        <f>TEXT(Source_data[[#This Row],[Listing_Date]],"mmm-yy")</f>
        <v>Mar-25</v>
      </c>
      <c r="N1114" s="4">
        <f t="shared" si="17"/>
        <v>6199.6421052631576</v>
      </c>
      <c r="O1114" s="3" cm="1">
        <f t="array" ref="O1114">_xlfn.IFS(AND(K1114="Broker",J1114="Resale"),F1114*0.5,AND(K1114="Owner",J1114="Resale"),F1114*0,AND(K1114="Builder",J1114="Resale"),F1114*0.3,AND(J1114="New",K1114="Broker"),F1114*0.1,AND(J1114="New",K1114="Owner"),F1114*0,AND(J1114="New",K1114="Builder"),F1114*0.5)</f>
        <v>0</v>
      </c>
    </row>
    <row r="1115" spans="1:15" x14ac:dyDescent="0.3">
      <c r="A1115" s="8" t="s">
        <v>1191</v>
      </c>
      <c r="B1115" s="4" t="s">
        <v>1156</v>
      </c>
      <c r="C1115" s="4" t="s">
        <v>1164</v>
      </c>
      <c r="D1115" s="4">
        <v>3</v>
      </c>
      <c r="E1115" s="4">
        <v>824</v>
      </c>
      <c r="F1115" s="4">
        <v>3524791</v>
      </c>
      <c r="G1115" s="4">
        <v>3</v>
      </c>
      <c r="H1115" s="4">
        <v>3</v>
      </c>
      <c r="I1115" s="4" t="s">
        <v>8</v>
      </c>
      <c r="J1115" s="4" t="s">
        <v>19</v>
      </c>
      <c r="K1115" s="4" t="s">
        <v>20</v>
      </c>
      <c r="L1115" s="9">
        <v>45412</v>
      </c>
      <c r="M1115" s="9" t="str">
        <f>TEXT(Source_data[[#This Row],[Listing_Date]],"mmm-yy")</f>
        <v>Apr-24</v>
      </c>
      <c r="N1115" s="4">
        <f t="shared" si="17"/>
        <v>4277.6589805825242</v>
      </c>
      <c r="O1115" s="3" cm="1">
        <f t="array" ref="O1115">_xlfn.IFS(AND(K1115="Broker",J1115="Resale"),F1115*0.5,AND(K1115="Owner",J1115="Resale"),F1115*0,AND(K1115="Builder",J1115="Resale"),F1115*0.3,AND(J1115="New",K1115="Broker"),F1115*0.1,AND(J1115="New",K1115="Owner"),F1115*0,AND(J1115="New",K1115="Builder"),F1115*0.5)</f>
        <v>352479.10000000003</v>
      </c>
    </row>
    <row r="1116" spans="1:15" x14ac:dyDescent="0.3">
      <c r="A1116" s="8" t="s">
        <v>1192</v>
      </c>
      <c r="B1116" s="4" t="s">
        <v>1156</v>
      </c>
      <c r="C1116" s="4" t="s">
        <v>1164</v>
      </c>
      <c r="D1116" s="4">
        <v>2</v>
      </c>
      <c r="E1116" s="4">
        <v>1250</v>
      </c>
      <c r="F1116" s="4">
        <v>5000799</v>
      </c>
      <c r="G1116" s="4">
        <v>1</v>
      </c>
      <c r="H1116" s="4">
        <v>2</v>
      </c>
      <c r="I1116" s="4" t="s">
        <v>27</v>
      </c>
      <c r="J1116" s="4" t="s">
        <v>23</v>
      </c>
      <c r="K1116" s="4" t="s">
        <v>20</v>
      </c>
      <c r="L1116" s="9">
        <v>45411</v>
      </c>
      <c r="M1116" s="9" t="str">
        <f>TEXT(Source_data[[#This Row],[Listing_Date]],"mmm-yy")</f>
        <v>Apr-24</v>
      </c>
      <c r="N1116" s="4">
        <f t="shared" si="17"/>
        <v>4000.6392000000001</v>
      </c>
      <c r="O1116" s="3" cm="1">
        <f t="array" ref="O1116">_xlfn.IFS(AND(K1116="Broker",J1116="Resale"),F1116*0.5,AND(K1116="Owner",J1116="Resale"),F1116*0,AND(K1116="Builder",J1116="Resale"),F1116*0.3,AND(J1116="New",K1116="Broker"),F1116*0.1,AND(J1116="New",K1116="Owner"),F1116*0,AND(J1116="New",K1116="Builder"),F1116*0.5)</f>
        <v>2500399.5</v>
      </c>
    </row>
    <row r="1117" spans="1:15" x14ac:dyDescent="0.3">
      <c r="A1117" s="8" t="s">
        <v>1193</v>
      </c>
      <c r="B1117" s="4" t="s">
        <v>1156</v>
      </c>
      <c r="C1117" s="4" t="s">
        <v>1160</v>
      </c>
      <c r="D1117" s="4">
        <v>3</v>
      </c>
      <c r="E1117" s="4">
        <v>1031</v>
      </c>
      <c r="F1117" s="4">
        <v>4842233</v>
      </c>
      <c r="G1117" s="4">
        <v>3</v>
      </c>
      <c r="H1117" s="4">
        <v>0</v>
      </c>
      <c r="I1117" s="4" t="s">
        <v>27</v>
      </c>
      <c r="J1117" s="4" t="s">
        <v>19</v>
      </c>
      <c r="K1117" s="4" t="s">
        <v>36</v>
      </c>
      <c r="L1117" s="9">
        <v>45493</v>
      </c>
      <c r="M1117" s="9" t="str">
        <f>TEXT(Source_data[[#This Row],[Listing_Date]],"mmm-yy")</f>
        <v>Jul-24</v>
      </c>
      <c r="N1117" s="4">
        <f t="shared" si="17"/>
        <v>4696.6372453928225</v>
      </c>
      <c r="O1117" s="3" cm="1">
        <f t="array" ref="O1117">_xlfn.IFS(AND(K1117="Broker",J1117="Resale"),F1117*0.5,AND(K1117="Owner",J1117="Resale"),F1117*0,AND(K1117="Builder",J1117="Resale"),F1117*0.3,AND(J1117="New",K1117="Broker"),F1117*0.1,AND(J1117="New",K1117="Owner"),F1117*0,AND(J1117="New",K1117="Builder"),F1117*0.5)</f>
        <v>0</v>
      </c>
    </row>
    <row r="1118" spans="1:15" x14ac:dyDescent="0.3">
      <c r="A1118" s="8" t="s">
        <v>1194</v>
      </c>
      <c r="B1118" s="4" t="s">
        <v>1156</v>
      </c>
      <c r="C1118" s="4" t="s">
        <v>1169</v>
      </c>
      <c r="D1118" s="4">
        <v>3</v>
      </c>
      <c r="E1118" s="4">
        <v>1304</v>
      </c>
      <c r="F1118" s="4">
        <v>7180009</v>
      </c>
      <c r="G1118" s="4">
        <v>3</v>
      </c>
      <c r="H1118" s="4">
        <v>2</v>
      </c>
      <c r="I1118" s="4" t="s">
        <v>8</v>
      </c>
      <c r="J1118" s="4" t="s">
        <v>23</v>
      </c>
      <c r="K1118" s="4" t="s">
        <v>24</v>
      </c>
      <c r="L1118" s="9">
        <v>45087</v>
      </c>
      <c r="M1118" s="9" t="str">
        <f>TEXT(Source_data[[#This Row],[Listing_Date]],"mmm-yy")</f>
        <v>Jun-23</v>
      </c>
      <c r="N1118" s="4">
        <f t="shared" si="17"/>
        <v>5506.1418711656443</v>
      </c>
      <c r="O1118" s="3" cm="1">
        <f t="array" ref="O1118">_xlfn.IFS(AND(K1118="Broker",J1118="Resale"),F1118*0.5,AND(K1118="Owner",J1118="Resale"),F1118*0,AND(K1118="Builder",J1118="Resale"),F1118*0.3,AND(J1118="New",K1118="Broker"),F1118*0.1,AND(J1118="New",K1118="Owner"),F1118*0,AND(J1118="New",K1118="Builder"),F1118*0.5)</f>
        <v>2154002.6999999997</v>
      </c>
    </row>
    <row r="1119" spans="1:15" x14ac:dyDescent="0.3">
      <c r="A1119" s="8" t="s">
        <v>1195</v>
      </c>
      <c r="B1119" s="4" t="s">
        <v>1156</v>
      </c>
      <c r="C1119" s="4" t="s">
        <v>1164</v>
      </c>
      <c r="D1119" s="4">
        <v>3</v>
      </c>
      <c r="E1119" s="4">
        <v>1084</v>
      </c>
      <c r="F1119" s="4">
        <v>5469407</v>
      </c>
      <c r="G1119" s="4">
        <v>3</v>
      </c>
      <c r="H1119" s="4">
        <v>1</v>
      </c>
      <c r="I1119" s="4" t="s">
        <v>18</v>
      </c>
      <c r="J1119" s="4" t="s">
        <v>23</v>
      </c>
      <c r="K1119" s="4" t="s">
        <v>24</v>
      </c>
      <c r="L1119" s="9">
        <v>45179</v>
      </c>
      <c r="M1119" s="9" t="str">
        <f>TEXT(Source_data[[#This Row],[Listing_Date]],"mmm-yy")</f>
        <v>Sep-23</v>
      </c>
      <c r="N1119" s="4">
        <f t="shared" si="17"/>
        <v>5045.5784132841327</v>
      </c>
      <c r="O1119" s="3" cm="1">
        <f t="array" ref="O1119">_xlfn.IFS(AND(K1119="Broker",J1119="Resale"),F1119*0.5,AND(K1119="Owner",J1119="Resale"),F1119*0,AND(K1119="Builder",J1119="Resale"),F1119*0.3,AND(J1119="New",K1119="Broker"),F1119*0.1,AND(J1119="New",K1119="Owner"),F1119*0,AND(J1119="New",K1119="Builder"),F1119*0.5)</f>
        <v>1640822.0999999999</v>
      </c>
    </row>
    <row r="1120" spans="1:15" x14ac:dyDescent="0.3">
      <c r="A1120" s="8" t="s">
        <v>1196</v>
      </c>
      <c r="B1120" s="4" t="s">
        <v>1156</v>
      </c>
      <c r="C1120" s="4" t="s">
        <v>1169</v>
      </c>
      <c r="D1120" s="4">
        <v>5</v>
      </c>
      <c r="E1120" s="4">
        <v>1742</v>
      </c>
      <c r="F1120" s="4">
        <v>6400000</v>
      </c>
      <c r="G1120" s="4">
        <v>3</v>
      </c>
      <c r="H1120" s="4">
        <v>2</v>
      </c>
      <c r="I1120" s="4" t="s">
        <v>27</v>
      </c>
      <c r="J1120" s="4" t="s">
        <v>23</v>
      </c>
      <c r="K1120" s="4" t="s">
        <v>36</v>
      </c>
      <c r="L1120" s="9">
        <v>45379</v>
      </c>
      <c r="M1120" s="9" t="str">
        <f>TEXT(Source_data[[#This Row],[Listing_Date]],"mmm-yy")</f>
        <v>Mar-24</v>
      </c>
      <c r="N1120" s="4">
        <f t="shared" si="17"/>
        <v>3673.9380022962114</v>
      </c>
      <c r="O1120" s="3" cm="1">
        <f t="array" ref="O1120">_xlfn.IFS(AND(K1120="Broker",J1120="Resale"),F1120*0.5,AND(K1120="Owner",J1120="Resale"),F1120*0,AND(K1120="Builder",J1120="Resale"),F1120*0.3,AND(J1120="New",K1120="Broker"),F1120*0.1,AND(J1120="New",K1120="Owner"),F1120*0,AND(J1120="New",K1120="Builder"),F1120*0.5)</f>
        <v>0</v>
      </c>
    </row>
    <row r="1121" spans="1:15" x14ac:dyDescent="0.3">
      <c r="A1121" s="8" t="s">
        <v>1197</v>
      </c>
      <c r="B1121" s="4" t="s">
        <v>1156</v>
      </c>
      <c r="C1121" s="4" t="s">
        <v>1167</v>
      </c>
      <c r="D1121" s="4">
        <v>2</v>
      </c>
      <c r="E1121" s="4">
        <v>903</v>
      </c>
      <c r="F1121" s="4">
        <v>3556583</v>
      </c>
      <c r="G1121" s="4">
        <v>2</v>
      </c>
      <c r="H1121" s="4">
        <v>1</v>
      </c>
      <c r="I1121" s="4" t="s">
        <v>27</v>
      </c>
      <c r="J1121" s="4" t="s">
        <v>23</v>
      </c>
      <c r="K1121" s="4" t="s">
        <v>24</v>
      </c>
      <c r="L1121" s="9">
        <v>45382</v>
      </c>
      <c r="M1121" s="9" t="str">
        <f>TEXT(Source_data[[#This Row],[Listing_Date]],"mmm-yy")</f>
        <v>Mar-24</v>
      </c>
      <c r="N1121" s="4">
        <f t="shared" si="17"/>
        <v>3938.6301218161684</v>
      </c>
      <c r="O1121" s="3" cm="1">
        <f t="array" ref="O1121">_xlfn.IFS(AND(K1121="Broker",J1121="Resale"),F1121*0.5,AND(K1121="Owner",J1121="Resale"),F1121*0,AND(K1121="Builder",J1121="Resale"),F1121*0.3,AND(J1121="New",K1121="Broker"),F1121*0.1,AND(J1121="New",K1121="Owner"),F1121*0,AND(J1121="New",K1121="Builder"),F1121*0.5)</f>
        <v>1066974.8999999999</v>
      </c>
    </row>
    <row r="1122" spans="1:15" x14ac:dyDescent="0.3">
      <c r="A1122" s="8" t="s">
        <v>1198</v>
      </c>
      <c r="B1122" s="4" t="s">
        <v>1156</v>
      </c>
      <c r="C1122" s="4" t="s">
        <v>1162</v>
      </c>
      <c r="D1122" s="4">
        <v>2</v>
      </c>
      <c r="E1122" s="4">
        <v>877</v>
      </c>
      <c r="F1122" s="4">
        <v>4551459</v>
      </c>
      <c r="G1122" s="4">
        <v>2</v>
      </c>
      <c r="H1122" s="4">
        <v>1</v>
      </c>
      <c r="I1122" s="4" t="s">
        <v>27</v>
      </c>
      <c r="J1122" s="4" t="s">
        <v>23</v>
      </c>
      <c r="K1122" s="4" t="s">
        <v>24</v>
      </c>
      <c r="L1122" s="9">
        <v>45030</v>
      </c>
      <c r="M1122" s="9" t="str">
        <f>TEXT(Source_data[[#This Row],[Listing_Date]],"mmm-yy")</f>
        <v>Apr-23</v>
      </c>
      <c r="N1122" s="4">
        <f t="shared" si="17"/>
        <v>5189.805017103763</v>
      </c>
      <c r="O1122" s="3" cm="1">
        <f t="array" ref="O1122">_xlfn.IFS(AND(K1122="Broker",J1122="Resale"),F1122*0.5,AND(K1122="Owner",J1122="Resale"),F1122*0,AND(K1122="Builder",J1122="Resale"),F1122*0.3,AND(J1122="New",K1122="Broker"),F1122*0.1,AND(J1122="New",K1122="Owner"),F1122*0,AND(J1122="New",K1122="Builder"),F1122*0.5)</f>
        <v>1365437.7</v>
      </c>
    </row>
    <row r="1123" spans="1:15" x14ac:dyDescent="0.3">
      <c r="A1123" s="8" t="s">
        <v>1199</v>
      </c>
      <c r="B1123" s="4" t="s">
        <v>1156</v>
      </c>
      <c r="C1123" s="4" t="s">
        <v>1169</v>
      </c>
      <c r="D1123" s="4">
        <v>3</v>
      </c>
      <c r="E1123" s="4">
        <v>1121</v>
      </c>
      <c r="F1123" s="4">
        <v>6453196</v>
      </c>
      <c r="G1123" s="4">
        <v>3</v>
      </c>
      <c r="H1123" s="4">
        <v>1</v>
      </c>
      <c r="I1123" s="4" t="s">
        <v>8</v>
      </c>
      <c r="J1123" s="4" t="s">
        <v>23</v>
      </c>
      <c r="K1123" s="4" t="s">
        <v>20</v>
      </c>
      <c r="L1123" s="9">
        <v>44962</v>
      </c>
      <c r="M1123" s="9" t="str">
        <f>TEXT(Source_data[[#This Row],[Listing_Date]],"mmm-yy")</f>
        <v>Feb-23</v>
      </c>
      <c r="N1123" s="4">
        <f t="shared" si="17"/>
        <v>5756.6422836752899</v>
      </c>
      <c r="O1123" s="3" cm="1">
        <f t="array" ref="O1123">_xlfn.IFS(AND(K1123="Broker",J1123="Resale"),F1123*0.5,AND(K1123="Owner",J1123="Resale"),F1123*0,AND(K1123="Builder",J1123="Resale"),F1123*0.3,AND(J1123="New",K1123="Broker"),F1123*0.1,AND(J1123="New",K1123="Owner"),F1123*0,AND(J1123="New",K1123="Builder"),F1123*0.5)</f>
        <v>3226598</v>
      </c>
    </row>
    <row r="1124" spans="1:15" x14ac:dyDescent="0.3">
      <c r="A1124" s="8" t="s">
        <v>1200</v>
      </c>
      <c r="B1124" s="4" t="s">
        <v>1156</v>
      </c>
      <c r="C1124" s="4" t="s">
        <v>1167</v>
      </c>
      <c r="D1124" s="4">
        <v>5</v>
      </c>
      <c r="E1124" s="4">
        <v>1640</v>
      </c>
      <c r="F1124" s="4">
        <v>6734491</v>
      </c>
      <c r="G1124" s="4">
        <v>3</v>
      </c>
      <c r="H1124" s="4">
        <v>1</v>
      </c>
      <c r="I1124" s="4" t="s">
        <v>18</v>
      </c>
      <c r="J1124" s="4" t="s">
        <v>23</v>
      </c>
      <c r="K1124" s="4" t="s">
        <v>36</v>
      </c>
      <c r="L1124" s="9">
        <v>44944</v>
      </c>
      <c r="M1124" s="9" t="str">
        <f>TEXT(Source_data[[#This Row],[Listing_Date]],"mmm-yy")</f>
        <v>Jan-23</v>
      </c>
      <c r="N1124" s="4">
        <f t="shared" si="17"/>
        <v>4106.3969512195126</v>
      </c>
      <c r="O1124" s="3" cm="1">
        <f t="array" ref="O1124">_xlfn.IFS(AND(K1124="Broker",J1124="Resale"),F1124*0.5,AND(K1124="Owner",J1124="Resale"),F1124*0,AND(K1124="Builder",J1124="Resale"),F1124*0.3,AND(J1124="New",K1124="Broker"),F1124*0.1,AND(J1124="New",K1124="Owner"),F1124*0,AND(J1124="New",K1124="Builder"),F1124*0.5)</f>
        <v>0</v>
      </c>
    </row>
    <row r="1125" spans="1:15" x14ac:dyDescent="0.3">
      <c r="A1125" s="8" t="s">
        <v>1201</v>
      </c>
      <c r="B1125" s="4" t="s">
        <v>1156</v>
      </c>
      <c r="C1125" s="4" t="s">
        <v>1157</v>
      </c>
      <c r="D1125" s="4">
        <v>4</v>
      </c>
      <c r="E1125" s="4">
        <v>1232</v>
      </c>
      <c r="F1125" s="4">
        <v>6907037</v>
      </c>
      <c r="G1125" s="4">
        <v>3</v>
      </c>
      <c r="H1125" s="4">
        <v>2</v>
      </c>
      <c r="I1125" s="4" t="s">
        <v>8</v>
      </c>
      <c r="J1125" s="4" t="s">
        <v>19</v>
      </c>
      <c r="K1125" s="4" t="s">
        <v>24</v>
      </c>
      <c r="L1125" s="9">
        <v>45893</v>
      </c>
      <c r="M1125" s="9" t="str">
        <f>TEXT(Source_data[[#This Row],[Listing_Date]],"mmm-yy")</f>
        <v>Aug-25</v>
      </c>
      <c r="N1125" s="4">
        <f t="shared" si="17"/>
        <v>5606.3612012987014</v>
      </c>
      <c r="O1125" s="3" cm="1">
        <f t="array" ref="O1125">_xlfn.IFS(AND(K1125="Broker",J1125="Resale"),F1125*0.5,AND(K1125="Owner",J1125="Resale"),F1125*0,AND(K1125="Builder",J1125="Resale"),F1125*0.3,AND(J1125="New",K1125="Broker"),F1125*0.1,AND(J1125="New",K1125="Owner"),F1125*0,AND(J1125="New",K1125="Builder"),F1125*0.5)</f>
        <v>3453518.5</v>
      </c>
    </row>
    <row r="1126" spans="1:15" x14ac:dyDescent="0.3">
      <c r="A1126" s="8" t="s">
        <v>1202</v>
      </c>
      <c r="B1126" s="4" t="s">
        <v>1156</v>
      </c>
      <c r="C1126" s="4" t="s">
        <v>1167</v>
      </c>
      <c r="D1126" s="4">
        <v>4</v>
      </c>
      <c r="E1126" s="4">
        <v>1712</v>
      </c>
      <c r="F1126" s="4">
        <v>8295586</v>
      </c>
      <c r="G1126" s="4">
        <v>3</v>
      </c>
      <c r="H1126" s="4">
        <v>2</v>
      </c>
      <c r="I1126" s="4" t="s">
        <v>8</v>
      </c>
      <c r="J1126" s="4" t="s">
        <v>23</v>
      </c>
      <c r="K1126" s="4" t="s">
        <v>36</v>
      </c>
      <c r="L1126" s="9">
        <v>45685</v>
      </c>
      <c r="M1126" s="9" t="str">
        <f>TEXT(Source_data[[#This Row],[Listing_Date]],"mmm-yy")</f>
        <v>Jan-25</v>
      </c>
      <c r="N1126" s="4">
        <f t="shared" si="17"/>
        <v>4845.5525700934577</v>
      </c>
      <c r="O1126" s="3" cm="1">
        <f t="array" ref="O1126">_xlfn.IFS(AND(K1126="Broker",J1126="Resale"),F1126*0.5,AND(K1126="Owner",J1126="Resale"),F1126*0,AND(K1126="Builder",J1126="Resale"),F1126*0.3,AND(J1126="New",K1126="Broker"),F1126*0.1,AND(J1126="New",K1126="Owner"),F1126*0,AND(J1126="New",K1126="Builder"),F1126*0.5)</f>
        <v>0</v>
      </c>
    </row>
    <row r="1127" spans="1:15" x14ac:dyDescent="0.3">
      <c r="A1127" s="8" t="s">
        <v>1203</v>
      </c>
      <c r="B1127" s="4" t="s">
        <v>1156</v>
      </c>
      <c r="C1127" s="4" t="s">
        <v>1167</v>
      </c>
      <c r="D1127" s="4">
        <v>2</v>
      </c>
      <c r="E1127" s="4">
        <v>548</v>
      </c>
      <c r="F1127" s="4">
        <v>2475396</v>
      </c>
      <c r="G1127" s="4">
        <v>2</v>
      </c>
      <c r="H1127" s="4">
        <v>0</v>
      </c>
      <c r="I1127" s="4" t="s">
        <v>18</v>
      </c>
      <c r="J1127" s="4" t="s">
        <v>19</v>
      </c>
      <c r="K1127" s="4" t="s">
        <v>20</v>
      </c>
      <c r="L1127" s="9">
        <v>45273</v>
      </c>
      <c r="M1127" s="9" t="str">
        <f>TEXT(Source_data[[#This Row],[Listing_Date]],"mmm-yy")</f>
        <v>Dec-23</v>
      </c>
      <c r="N1127" s="4">
        <f t="shared" si="17"/>
        <v>4517.1459854014602</v>
      </c>
      <c r="O1127" s="3" cm="1">
        <f t="array" ref="O1127">_xlfn.IFS(AND(K1127="Broker",J1127="Resale"),F1127*0.5,AND(K1127="Owner",J1127="Resale"),F1127*0,AND(K1127="Builder",J1127="Resale"),F1127*0.3,AND(J1127="New",K1127="Broker"),F1127*0.1,AND(J1127="New",K1127="Owner"),F1127*0,AND(J1127="New",K1127="Builder"),F1127*0.5)</f>
        <v>247539.6</v>
      </c>
    </row>
    <row r="1128" spans="1:15" x14ac:dyDescent="0.3">
      <c r="A1128" s="8" t="s">
        <v>1204</v>
      </c>
      <c r="B1128" s="4" t="s">
        <v>1156</v>
      </c>
      <c r="C1128" s="4" t="s">
        <v>1160</v>
      </c>
      <c r="D1128" s="4">
        <v>3</v>
      </c>
      <c r="E1128" s="4">
        <v>793</v>
      </c>
      <c r="F1128" s="4">
        <v>5332477</v>
      </c>
      <c r="G1128" s="4">
        <v>2</v>
      </c>
      <c r="H1128" s="4">
        <v>3</v>
      </c>
      <c r="I1128" s="4" t="s">
        <v>8</v>
      </c>
      <c r="J1128" s="4" t="s">
        <v>19</v>
      </c>
      <c r="K1128" s="4" t="s">
        <v>24</v>
      </c>
      <c r="L1128" s="9">
        <v>45474</v>
      </c>
      <c r="M1128" s="9" t="str">
        <f>TEXT(Source_data[[#This Row],[Listing_Date]],"mmm-yy")</f>
        <v>Jul-24</v>
      </c>
      <c r="N1128" s="4">
        <f t="shared" si="17"/>
        <v>6724.4350567465326</v>
      </c>
      <c r="O1128" s="3" cm="1">
        <f t="array" ref="O1128">_xlfn.IFS(AND(K1128="Broker",J1128="Resale"),F1128*0.5,AND(K1128="Owner",J1128="Resale"),F1128*0,AND(K1128="Builder",J1128="Resale"),F1128*0.3,AND(J1128="New",K1128="Broker"),F1128*0.1,AND(J1128="New",K1128="Owner"),F1128*0,AND(J1128="New",K1128="Builder"),F1128*0.5)</f>
        <v>2666238.5</v>
      </c>
    </row>
    <row r="1129" spans="1:15" x14ac:dyDescent="0.3">
      <c r="A1129" s="8" t="s">
        <v>1205</v>
      </c>
      <c r="B1129" s="4" t="s">
        <v>1156</v>
      </c>
      <c r="C1129" s="4" t="s">
        <v>1157</v>
      </c>
      <c r="D1129" s="4">
        <v>2</v>
      </c>
      <c r="E1129" s="4">
        <v>1122</v>
      </c>
      <c r="F1129" s="4">
        <v>6270634</v>
      </c>
      <c r="G1129" s="4">
        <v>2</v>
      </c>
      <c r="H1129" s="4">
        <v>2</v>
      </c>
      <c r="I1129" s="4" t="s">
        <v>27</v>
      </c>
      <c r="J1129" s="4" t="s">
        <v>23</v>
      </c>
      <c r="K1129" s="4" t="s">
        <v>20</v>
      </c>
      <c r="L1129" s="9">
        <v>45009</v>
      </c>
      <c r="M1129" s="9" t="str">
        <f>TEXT(Source_data[[#This Row],[Listing_Date]],"mmm-yy")</f>
        <v>Mar-23</v>
      </c>
      <c r="N1129" s="4">
        <f t="shared" si="17"/>
        <v>5588.800356506239</v>
      </c>
      <c r="O1129" s="3" cm="1">
        <f t="array" ref="O1129">_xlfn.IFS(AND(K1129="Broker",J1129="Resale"),F1129*0.5,AND(K1129="Owner",J1129="Resale"),F1129*0,AND(K1129="Builder",J1129="Resale"),F1129*0.3,AND(J1129="New",K1129="Broker"),F1129*0.1,AND(J1129="New",K1129="Owner"),F1129*0,AND(J1129="New",K1129="Builder"),F1129*0.5)</f>
        <v>3135317</v>
      </c>
    </row>
    <row r="1130" spans="1:15" x14ac:dyDescent="0.3">
      <c r="A1130" s="8" t="s">
        <v>1206</v>
      </c>
      <c r="B1130" s="4" t="s">
        <v>1156</v>
      </c>
      <c r="C1130" s="4" t="s">
        <v>1160</v>
      </c>
      <c r="D1130" s="4">
        <v>4</v>
      </c>
      <c r="E1130" s="4">
        <v>1519</v>
      </c>
      <c r="F1130" s="4">
        <v>11181033</v>
      </c>
      <c r="G1130" s="4">
        <v>3</v>
      </c>
      <c r="H1130" s="4">
        <v>0</v>
      </c>
      <c r="I1130" s="4" t="s">
        <v>27</v>
      </c>
      <c r="J1130" s="4" t="s">
        <v>19</v>
      </c>
      <c r="K1130" s="4" t="s">
        <v>36</v>
      </c>
      <c r="L1130" s="9">
        <v>45122</v>
      </c>
      <c r="M1130" s="9" t="str">
        <f>TEXT(Source_data[[#This Row],[Listing_Date]],"mmm-yy")</f>
        <v>Jul-23</v>
      </c>
      <c r="N1130" s="4">
        <f t="shared" si="17"/>
        <v>7360.7853851217906</v>
      </c>
      <c r="O1130" s="3" cm="1">
        <f t="array" ref="O1130">_xlfn.IFS(AND(K1130="Broker",J1130="Resale"),F1130*0.5,AND(K1130="Owner",J1130="Resale"),F1130*0,AND(K1130="Builder",J1130="Resale"),F1130*0.3,AND(J1130="New",K1130="Broker"),F1130*0.1,AND(J1130="New",K1130="Owner"),F1130*0,AND(J1130="New",K1130="Builder"),F1130*0.5)</f>
        <v>0</v>
      </c>
    </row>
    <row r="1131" spans="1:15" x14ac:dyDescent="0.3">
      <c r="A1131" s="8" t="s">
        <v>1207</v>
      </c>
      <c r="B1131" s="4" t="s">
        <v>1156</v>
      </c>
      <c r="C1131" s="4" t="s">
        <v>1160</v>
      </c>
      <c r="D1131" s="4">
        <v>3</v>
      </c>
      <c r="E1131" s="4">
        <v>1558</v>
      </c>
      <c r="F1131" s="4">
        <v>10430999</v>
      </c>
      <c r="G1131" s="4">
        <v>3</v>
      </c>
      <c r="H1131" s="4">
        <v>1</v>
      </c>
      <c r="I1131" s="4" t="s">
        <v>27</v>
      </c>
      <c r="J1131" s="4" t="s">
        <v>19</v>
      </c>
      <c r="K1131" s="4" t="s">
        <v>24</v>
      </c>
      <c r="L1131" s="9">
        <v>45716</v>
      </c>
      <c r="M1131" s="9" t="str">
        <f>TEXT(Source_data[[#This Row],[Listing_Date]],"mmm-yy")</f>
        <v>Feb-25</v>
      </c>
      <c r="N1131" s="4">
        <f t="shared" si="17"/>
        <v>6695.1213093709885</v>
      </c>
      <c r="O1131" s="3" cm="1">
        <f t="array" ref="O1131">_xlfn.IFS(AND(K1131="Broker",J1131="Resale"),F1131*0.5,AND(K1131="Owner",J1131="Resale"),F1131*0,AND(K1131="Builder",J1131="Resale"),F1131*0.3,AND(J1131="New",K1131="Broker"),F1131*0.1,AND(J1131="New",K1131="Owner"),F1131*0,AND(J1131="New",K1131="Builder"),F1131*0.5)</f>
        <v>5215499.5</v>
      </c>
    </row>
    <row r="1132" spans="1:15" x14ac:dyDescent="0.3">
      <c r="A1132" s="8" t="s">
        <v>1208</v>
      </c>
      <c r="B1132" s="4" t="s">
        <v>1156</v>
      </c>
      <c r="C1132" s="4" t="s">
        <v>1157</v>
      </c>
      <c r="D1132" s="4">
        <v>3</v>
      </c>
      <c r="E1132" s="4">
        <v>1382</v>
      </c>
      <c r="F1132" s="4">
        <v>7376629</v>
      </c>
      <c r="G1132" s="4">
        <v>3</v>
      </c>
      <c r="H1132" s="4">
        <v>0</v>
      </c>
      <c r="I1132" s="4" t="s">
        <v>18</v>
      </c>
      <c r="J1132" s="4" t="s">
        <v>19</v>
      </c>
      <c r="K1132" s="4" t="s">
        <v>36</v>
      </c>
      <c r="L1132" s="9">
        <v>45522</v>
      </c>
      <c r="M1132" s="9" t="str">
        <f>TEXT(Source_data[[#This Row],[Listing_Date]],"mmm-yy")</f>
        <v>Aug-24</v>
      </c>
      <c r="N1132" s="4">
        <f t="shared" si="17"/>
        <v>5337.6476121562955</v>
      </c>
      <c r="O1132" s="3" cm="1">
        <f t="array" ref="O1132">_xlfn.IFS(AND(K1132="Broker",J1132="Resale"),F1132*0.5,AND(K1132="Owner",J1132="Resale"),F1132*0,AND(K1132="Builder",J1132="Resale"),F1132*0.3,AND(J1132="New",K1132="Broker"),F1132*0.1,AND(J1132="New",K1132="Owner"),F1132*0,AND(J1132="New",K1132="Builder"),F1132*0.5)</f>
        <v>0</v>
      </c>
    </row>
    <row r="1133" spans="1:15" x14ac:dyDescent="0.3">
      <c r="A1133" s="8" t="s">
        <v>1209</v>
      </c>
      <c r="B1133" s="4" t="s">
        <v>1156</v>
      </c>
      <c r="C1133" s="4" t="s">
        <v>1169</v>
      </c>
      <c r="D1133" s="4">
        <v>3</v>
      </c>
      <c r="E1133" s="4">
        <v>1571</v>
      </c>
      <c r="F1133" s="4">
        <v>9378156</v>
      </c>
      <c r="G1133" s="4">
        <v>3</v>
      </c>
      <c r="H1133" s="4">
        <v>1</v>
      </c>
      <c r="I1133" s="4" t="s">
        <v>27</v>
      </c>
      <c r="J1133" s="4" t="s">
        <v>23</v>
      </c>
      <c r="K1133" s="4" t="s">
        <v>36</v>
      </c>
      <c r="L1133" s="9">
        <v>45076</v>
      </c>
      <c r="M1133" s="9" t="str">
        <f>TEXT(Source_data[[#This Row],[Listing_Date]],"mmm-yy")</f>
        <v>May-23</v>
      </c>
      <c r="N1133" s="4">
        <f t="shared" si="17"/>
        <v>5969.5455124124765</v>
      </c>
      <c r="O1133" s="3" cm="1">
        <f t="array" ref="O1133">_xlfn.IFS(AND(K1133="Broker",J1133="Resale"),F1133*0.5,AND(K1133="Owner",J1133="Resale"),F1133*0,AND(K1133="Builder",J1133="Resale"),F1133*0.3,AND(J1133="New",K1133="Broker"),F1133*0.1,AND(J1133="New",K1133="Owner"),F1133*0,AND(J1133="New",K1133="Builder"),F1133*0.5)</f>
        <v>0</v>
      </c>
    </row>
    <row r="1134" spans="1:15" x14ac:dyDescent="0.3">
      <c r="A1134" s="8" t="s">
        <v>1210</v>
      </c>
      <c r="B1134" s="4" t="s">
        <v>1156</v>
      </c>
      <c r="C1134" s="4" t="s">
        <v>1160</v>
      </c>
      <c r="D1134" s="4">
        <v>3</v>
      </c>
      <c r="E1134" s="4">
        <v>1178</v>
      </c>
      <c r="F1134" s="4">
        <v>7386922</v>
      </c>
      <c r="G1134" s="4">
        <v>3</v>
      </c>
      <c r="H1134" s="4">
        <v>1</v>
      </c>
      <c r="I1134" s="4" t="s">
        <v>8</v>
      </c>
      <c r="J1134" s="4" t="s">
        <v>23</v>
      </c>
      <c r="K1134" s="4" t="s">
        <v>24</v>
      </c>
      <c r="L1134" s="9">
        <v>45601</v>
      </c>
      <c r="M1134" s="9" t="str">
        <f>TEXT(Source_data[[#This Row],[Listing_Date]],"mmm-yy")</f>
        <v>Nov-24</v>
      </c>
      <c r="N1134" s="4">
        <f t="shared" si="17"/>
        <v>6270.7317487266555</v>
      </c>
      <c r="O1134" s="3" cm="1">
        <f t="array" ref="O1134">_xlfn.IFS(AND(K1134="Broker",J1134="Resale"),F1134*0.5,AND(K1134="Owner",J1134="Resale"),F1134*0,AND(K1134="Builder",J1134="Resale"),F1134*0.3,AND(J1134="New",K1134="Broker"),F1134*0.1,AND(J1134="New",K1134="Owner"),F1134*0,AND(J1134="New",K1134="Builder"),F1134*0.5)</f>
        <v>2216076.6</v>
      </c>
    </row>
    <row r="1135" spans="1:15" x14ac:dyDescent="0.3">
      <c r="A1135" s="8" t="s">
        <v>1211</v>
      </c>
      <c r="B1135" s="4" t="s">
        <v>1156</v>
      </c>
      <c r="C1135" s="4" t="s">
        <v>1169</v>
      </c>
      <c r="D1135" s="4">
        <v>3</v>
      </c>
      <c r="E1135" s="4">
        <v>1574</v>
      </c>
      <c r="F1135" s="4">
        <v>9273287</v>
      </c>
      <c r="G1135" s="4">
        <v>3</v>
      </c>
      <c r="H1135" s="4">
        <v>3</v>
      </c>
      <c r="I1135" s="4" t="s">
        <v>27</v>
      </c>
      <c r="J1135" s="4" t="s">
        <v>19</v>
      </c>
      <c r="K1135" s="4" t="s">
        <v>20</v>
      </c>
      <c r="L1135" s="9">
        <v>45184</v>
      </c>
      <c r="M1135" s="9" t="str">
        <f>TEXT(Source_data[[#This Row],[Listing_Date]],"mmm-yy")</f>
        <v>Sep-23</v>
      </c>
      <c r="N1135" s="4">
        <f t="shared" si="17"/>
        <v>5891.5419313850061</v>
      </c>
      <c r="O1135" s="3" cm="1">
        <f t="array" ref="O1135">_xlfn.IFS(AND(K1135="Broker",J1135="Resale"),F1135*0.5,AND(K1135="Owner",J1135="Resale"),F1135*0,AND(K1135="Builder",J1135="Resale"),F1135*0.3,AND(J1135="New",K1135="Broker"),F1135*0.1,AND(J1135="New",K1135="Owner"),F1135*0,AND(J1135="New",K1135="Builder"),F1135*0.5)</f>
        <v>927328.70000000007</v>
      </c>
    </row>
    <row r="1136" spans="1:15" x14ac:dyDescent="0.3">
      <c r="A1136" s="8" t="s">
        <v>1212</v>
      </c>
      <c r="B1136" s="4" t="s">
        <v>1156</v>
      </c>
      <c r="C1136" s="4" t="s">
        <v>1160</v>
      </c>
      <c r="D1136" s="4">
        <v>2</v>
      </c>
      <c r="E1136" s="4">
        <v>843</v>
      </c>
      <c r="F1136" s="4">
        <v>4486449</v>
      </c>
      <c r="G1136" s="4">
        <v>2</v>
      </c>
      <c r="H1136" s="4">
        <v>1</v>
      </c>
      <c r="I1136" s="4" t="s">
        <v>27</v>
      </c>
      <c r="J1136" s="4" t="s">
        <v>23</v>
      </c>
      <c r="K1136" s="4" t="s">
        <v>36</v>
      </c>
      <c r="L1136" s="9">
        <v>45661</v>
      </c>
      <c r="M1136" s="9" t="str">
        <f>TEXT(Source_data[[#This Row],[Listing_Date]],"mmm-yy")</f>
        <v>Jan-25</v>
      </c>
      <c r="N1136" s="4">
        <f t="shared" si="17"/>
        <v>5322.0035587188613</v>
      </c>
      <c r="O1136" s="3" cm="1">
        <f t="array" ref="O1136">_xlfn.IFS(AND(K1136="Broker",J1136="Resale"),F1136*0.5,AND(K1136="Owner",J1136="Resale"),F1136*0,AND(K1136="Builder",J1136="Resale"),F1136*0.3,AND(J1136="New",K1136="Broker"),F1136*0.1,AND(J1136="New",K1136="Owner"),F1136*0,AND(J1136="New",K1136="Builder"),F1136*0.5)</f>
        <v>0</v>
      </c>
    </row>
    <row r="1137" spans="1:15" x14ac:dyDescent="0.3">
      <c r="A1137" s="8" t="s">
        <v>1213</v>
      </c>
      <c r="B1137" s="4" t="s">
        <v>1156</v>
      </c>
      <c r="C1137" s="4" t="s">
        <v>1164</v>
      </c>
      <c r="D1137" s="4">
        <v>2</v>
      </c>
      <c r="E1137" s="4">
        <v>1047</v>
      </c>
      <c r="F1137" s="4">
        <v>6131077</v>
      </c>
      <c r="G1137" s="4">
        <v>2</v>
      </c>
      <c r="H1137" s="4">
        <v>3</v>
      </c>
      <c r="I1137" s="4" t="s">
        <v>27</v>
      </c>
      <c r="J1137" s="4" t="s">
        <v>19</v>
      </c>
      <c r="K1137" s="4" t="s">
        <v>24</v>
      </c>
      <c r="L1137" s="9">
        <v>45826</v>
      </c>
      <c r="M1137" s="9" t="str">
        <f>TEXT(Source_data[[#This Row],[Listing_Date]],"mmm-yy")</f>
        <v>Jun-25</v>
      </c>
      <c r="N1137" s="4">
        <f t="shared" si="17"/>
        <v>5855.8519579751674</v>
      </c>
      <c r="O1137" s="3" cm="1">
        <f t="array" ref="O1137">_xlfn.IFS(AND(K1137="Broker",J1137="Resale"),F1137*0.5,AND(K1137="Owner",J1137="Resale"),F1137*0,AND(K1137="Builder",J1137="Resale"),F1137*0.3,AND(J1137="New",K1137="Broker"),F1137*0.1,AND(J1137="New",K1137="Owner"),F1137*0,AND(J1137="New",K1137="Builder"),F1137*0.5)</f>
        <v>3065538.5</v>
      </c>
    </row>
    <row r="1138" spans="1:15" x14ac:dyDescent="0.3">
      <c r="A1138" s="8" t="s">
        <v>1214</v>
      </c>
      <c r="B1138" s="4" t="s">
        <v>1156</v>
      </c>
      <c r="C1138" s="4" t="s">
        <v>1167</v>
      </c>
      <c r="D1138" s="4">
        <v>3</v>
      </c>
      <c r="E1138" s="4">
        <v>1378</v>
      </c>
      <c r="F1138" s="4">
        <v>4373824</v>
      </c>
      <c r="G1138" s="4">
        <v>3</v>
      </c>
      <c r="H1138" s="4">
        <v>3</v>
      </c>
      <c r="I1138" s="4" t="s">
        <v>27</v>
      </c>
      <c r="J1138" s="4" t="s">
        <v>19</v>
      </c>
      <c r="K1138" s="4" t="s">
        <v>24</v>
      </c>
      <c r="L1138" s="9">
        <v>45384</v>
      </c>
      <c r="M1138" s="9" t="str">
        <f>TEXT(Source_data[[#This Row],[Listing_Date]],"mmm-yy")</f>
        <v>Apr-24</v>
      </c>
      <c r="N1138" s="4">
        <f t="shared" si="17"/>
        <v>3174.0377358490564</v>
      </c>
      <c r="O1138" s="3" cm="1">
        <f t="array" ref="O1138">_xlfn.IFS(AND(K1138="Broker",J1138="Resale"),F1138*0.5,AND(K1138="Owner",J1138="Resale"),F1138*0,AND(K1138="Builder",J1138="Resale"),F1138*0.3,AND(J1138="New",K1138="Broker"),F1138*0.1,AND(J1138="New",K1138="Owner"),F1138*0,AND(J1138="New",K1138="Builder"),F1138*0.5)</f>
        <v>2186912</v>
      </c>
    </row>
    <row r="1139" spans="1:15" x14ac:dyDescent="0.3">
      <c r="A1139" s="8" t="s">
        <v>1215</v>
      </c>
      <c r="B1139" s="4" t="s">
        <v>1156</v>
      </c>
      <c r="C1139" s="4" t="s">
        <v>1160</v>
      </c>
      <c r="D1139" s="4">
        <v>3</v>
      </c>
      <c r="E1139" s="4">
        <v>1411</v>
      </c>
      <c r="F1139" s="4">
        <v>8939487</v>
      </c>
      <c r="G1139" s="4">
        <v>3</v>
      </c>
      <c r="H1139" s="4">
        <v>2</v>
      </c>
      <c r="I1139" s="4" t="s">
        <v>18</v>
      </c>
      <c r="J1139" s="4" t="s">
        <v>23</v>
      </c>
      <c r="K1139" s="4" t="s">
        <v>20</v>
      </c>
      <c r="L1139" s="9">
        <v>45006</v>
      </c>
      <c r="M1139" s="9" t="str">
        <f>TEXT(Source_data[[#This Row],[Listing_Date]],"mmm-yy")</f>
        <v>Mar-23</v>
      </c>
      <c r="N1139" s="4">
        <f t="shared" si="17"/>
        <v>6335.5683912119066</v>
      </c>
      <c r="O1139" s="3" cm="1">
        <f t="array" ref="O1139">_xlfn.IFS(AND(K1139="Broker",J1139="Resale"),F1139*0.5,AND(K1139="Owner",J1139="Resale"),F1139*0,AND(K1139="Builder",J1139="Resale"),F1139*0.3,AND(J1139="New",K1139="Broker"),F1139*0.1,AND(J1139="New",K1139="Owner"),F1139*0,AND(J1139="New",K1139="Builder"),F1139*0.5)</f>
        <v>4469743.5</v>
      </c>
    </row>
    <row r="1140" spans="1:15" x14ac:dyDescent="0.3">
      <c r="A1140" s="8" t="s">
        <v>1216</v>
      </c>
      <c r="B1140" s="4" t="s">
        <v>1156</v>
      </c>
      <c r="C1140" s="4" t="s">
        <v>1164</v>
      </c>
      <c r="D1140" s="4">
        <v>3</v>
      </c>
      <c r="E1140" s="4">
        <v>836</v>
      </c>
      <c r="F1140" s="4">
        <v>5029836</v>
      </c>
      <c r="G1140" s="4">
        <v>3</v>
      </c>
      <c r="H1140" s="4">
        <v>1</v>
      </c>
      <c r="I1140" s="4" t="s">
        <v>27</v>
      </c>
      <c r="J1140" s="4" t="s">
        <v>23</v>
      </c>
      <c r="K1140" s="4" t="s">
        <v>20</v>
      </c>
      <c r="L1140" s="9">
        <v>45457</v>
      </c>
      <c r="M1140" s="9" t="str">
        <f>TEXT(Source_data[[#This Row],[Listing_Date]],"mmm-yy")</f>
        <v>Jun-24</v>
      </c>
      <c r="N1140" s="4">
        <f t="shared" si="17"/>
        <v>6016.5502392344497</v>
      </c>
      <c r="O1140" s="3" cm="1">
        <f t="array" ref="O1140">_xlfn.IFS(AND(K1140="Broker",J1140="Resale"),F1140*0.5,AND(K1140="Owner",J1140="Resale"),F1140*0,AND(K1140="Builder",J1140="Resale"),F1140*0.3,AND(J1140="New",K1140="Broker"),F1140*0.1,AND(J1140="New",K1140="Owner"),F1140*0,AND(J1140="New",K1140="Builder"),F1140*0.5)</f>
        <v>2514918</v>
      </c>
    </row>
    <row r="1141" spans="1:15" x14ac:dyDescent="0.3">
      <c r="A1141" s="8" t="s">
        <v>1217</v>
      </c>
      <c r="B1141" s="4" t="s">
        <v>1156</v>
      </c>
      <c r="C1141" s="4" t="s">
        <v>1157</v>
      </c>
      <c r="D1141" s="4">
        <v>2</v>
      </c>
      <c r="E1141" s="4">
        <v>1019</v>
      </c>
      <c r="F1141" s="4">
        <v>7190429</v>
      </c>
      <c r="G1141" s="4">
        <v>1</v>
      </c>
      <c r="H1141" s="4">
        <v>1</v>
      </c>
      <c r="I1141" s="4" t="s">
        <v>8</v>
      </c>
      <c r="J1141" s="4" t="s">
        <v>23</v>
      </c>
      <c r="K1141" s="4" t="s">
        <v>36</v>
      </c>
      <c r="L1141" s="9">
        <v>45303</v>
      </c>
      <c r="M1141" s="9" t="str">
        <f>TEXT(Source_data[[#This Row],[Listing_Date]],"mmm-yy")</f>
        <v>Jan-24</v>
      </c>
      <c r="N1141" s="4">
        <f t="shared" si="17"/>
        <v>7056.3581943081454</v>
      </c>
      <c r="O1141" s="3" cm="1">
        <f t="array" ref="O1141">_xlfn.IFS(AND(K1141="Broker",J1141="Resale"),F1141*0.5,AND(K1141="Owner",J1141="Resale"),F1141*0,AND(K1141="Builder",J1141="Resale"),F1141*0.3,AND(J1141="New",K1141="Broker"),F1141*0.1,AND(J1141="New",K1141="Owner"),F1141*0,AND(J1141="New",K1141="Builder"),F1141*0.5)</f>
        <v>0</v>
      </c>
    </row>
    <row r="1142" spans="1:15" x14ac:dyDescent="0.3">
      <c r="A1142" s="8" t="s">
        <v>1218</v>
      </c>
      <c r="B1142" s="4" t="s">
        <v>1156</v>
      </c>
      <c r="C1142" s="4" t="s">
        <v>1157</v>
      </c>
      <c r="D1142" s="4">
        <v>2</v>
      </c>
      <c r="E1142" s="4">
        <v>804</v>
      </c>
      <c r="F1142" s="4">
        <v>4197869</v>
      </c>
      <c r="G1142" s="4">
        <v>2</v>
      </c>
      <c r="H1142" s="4">
        <v>2</v>
      </c>
      <c r="I1142" s="4" t="s">
        <v>18</v>
      </c>
      <c r="J1142" s="4" t="s">
        <v>23</v>
      </c>
      <c r="K1142" s="4" t="s">
        <v>36</v>
      </c>
      <c r="L1142" s="9">
        <v>45289</v>
      </c>
      <c r="M1142" s="9" t="str">
        <f>TEXT(Source_data[[#This Row],[Listing_Date]],"mmm-yy")</f>
        <v>Dec-23</v>
      </c>
      <c r="N1142" s="4">
        <f t="shared" si="17"/>
        <v>5221.230099502488</v>
      </c>
      <c r="O1142" s="3" cm="1">
        <f t="array" ref="O1142">_xlfn.IFS(AND(K1142="Broker",J1142="Resale"),F1142*0.5,AND(K1142="Owner",J1142="Resale"),F1142*0,AND(K1142="Builder",J1142="Resale"),F1142*0.3,AND(J1142="New",K1142="Broker"),F1142*0.1,AND(J1142="New",K1142="Owner"),F1142*0,AND(J1142="New",K1142="Builder"),F1142*0.5)</f>
        <v>0</v>
      </c>
    </row>
    <row r="1143" spans="1:15" x14ac:dyDescent="0.3">
      <c r="A1143" s="8" t="s">
        <v>1219</v>
      </c>
      <c r="B1143" s="4" t="s">
        <v>1156</v>
      </c>
      <c r="C1143" s="4" t="s">
        <v>1167</v>
      </c>
      <c r="D1143" s="4">
        <v>2</v>
      </c>
      <c r="E1143" s="4">
        <v>939</v>
      </c>
      <c r="F1143" s="4">
        <v>3748602</v>
      </c>
      <c r="G1143" s="4">
        <v>3</v>
      </c>
      <c r="H1143" s="4">
        <v>1</v>
      </c>
      <c r="I1143" s="4" t="s">
        <v>8</v>
      </c>
      <c r="J1143" s="4" t="s">
        <v>23</v>
      </c>
      <c r="K1143" s="4" t="s">
        <v>36</v>
      </c>
      <c r="L1143" s="9">
        <v>45692</v>
      </c>
      <c r="M1143" s="9" t="str">
        <f>TEXT(Source_data[[#This Row],[Listing_Date]],"mmm-yy")</f>
        <v>Feb-25</v>
      </c>
      <c r="N1143" s="4">
        <f t="shared" si="17"/>
        <v>3992.1214057507987</v>
      </c>
      <c r="O1143" s="3" cm="1">
        <f t="array" ref="O1143">_xlfn.IFS(AND(K1143="Broker",J1143="Resale"),F1143*0.5,AND(K1143="Owner",J1143="Resale"),F1143*0,AND(K1143="Builder",J1143="Resale"),F1143*0.3,AND(J1143="New",K1143="Broker"),F1143*0.1,AND(J1143="New",K1143="Owner"),F1143*0,AND(J1143="New",K1143="Builder"),F1143*0.5)</f>
        <v>0</v>
      </c>
    </row>
    <row r="1144" spans="1:15" x14ac:dyDescent="0.3">
      <c r="A1144" s="8" t="s">
        <v>1220</v>
      </c>
      <c r="B1144" s="4" t="s">
        <v>1156</v>
      </c>
      <c r="C1144" s="4" t="s">
        <v>1160</v>
      </c>
      <c r="D1144" s="4">
        <v>3</v>
      </c>
      <c r="E1144" s="4">
        <v>1362</v>
      </c>
      <c r="F1144" s="4">
        <v>6099384</v>
      </c>
      <c r="G1144" s="4">
        <v>3</v>
      </c>
      <c r="H1144" s="4">
        <v>2</v>
      </c>
      <c r="I1144" s="4" t="s">
        <v>27</v>
      </c>
      <c r="J1144" s="4" t="s">
        <v>19</v>
      </c>
      <c r="K1144" s="4" t="s">
        <v>24</v>
      </c>
      <c r="L1144" s="9">
        <v>45348</v>
      </c>
      <c r="M1144" s="9" t="str">
        <f>TEXT(Source_data[[#This Row],[Listing_Date]],"mmm-yy")</f>
        <v>Feb-24</v>
      </c>
      <c r="N1144" s="4">
        <f t="shared" si="17"/>
        <v>4478.2555066079294</v>
      </c>
      <c r="O1144" s="3" cm="1">
        <f t="array" ref="O1144">_xlfn.IFS(AND(K1144="Broker",J1144="Resale"),F1144*0.5,AND(K1144="Owner",J1144="Resale"),F1144*0,AND(K1144="Builder",J1144="Resale"),F1144*0.3,AND(J1144="New",K1144="Broker"),F1144*0.1,AND(J1144="New",K1144="Owner"),F1144*0,AND(J1144="New",K1144="Builder"),F1144*0.5)</f>
        <v>3049692</v>
      </c>
    </row>
    <row r="1145" spans="1:15" x14ac:dyDescent="0.3">
      <c r="A1145" s="8" t="s">
        <v>1221</v>
      </c>
      <c r="B1145" s="4" t="s">
        <v>1156</v>
      </c>
      <c r="C1145" s="4" t="s">
        <v>1169</v>
      </c>
      <c r="D1145" s="4">
        <v>1</v>
      </c>
      <c r="E1145" s="4">
        <v>671</v>
      </c>
      <c r="F1145" s="4">
        <v>2577296</v>
      </c>
      <c r="G1145" s="4">
        <v>1</v>
      </c>
      <c r="H1145" s="4">
        <v>3</v>
      </c>
      <c r="I1145" s="4" t="s">
        <v>27</v>
      </c>
      <c r="J1145" s="4" t="s">
        <v>23</v>
      </c>
      <c r="K1145" s="4" t="s">
        <v>24</v>
      </c>
      <c r="L1145" s="9">
        <v>45136</v>
      </c>
      <c r="M1145" s="9" t="str">
        <f>TEXT(Source_data[[#This Row],[Listing_Date]],"mmm-yy")</f>
        <v>Jul-23</v>
      </c>
      <c r="N1145" s="4">
        <f t="shared" si="17"/>
        <v>3840.9776453055142</v>
      </c>
      <c r="O1145" s="3" cm="1">
        <f t="array" ref="O1145">_xlfn.IFS(AND(K1145="Broker",J1145="Resale"),F1145*0.5,AND(K1145="Owner",J1145="Resale"),F1145*0,AND(K1145="Builder",J1145="Resale"),F1145*0.3,AND(J1145="New",K1145="Broker"),F1145*0.1,AND(J1145="New",K1145="Owner"),F1145*0,AND(J1145="New",K1145="Builder"),F1145*0.5)</f>
        <v>773188.79999999993</v>
      </c>
    </row>
    <row r="1146" spans="1:15" x14ac:dyDescent="0.3">
      <c r="A1146" s="8" t="s">
        <v>1222</v>
      </c>
      <c r="B1146" s="4" t="s">
        <v>1156</v>
      </c>
      <c r="C1146" s="4" t="s">
        <v>1169</v>
      </c>
      <c r="D1146" s="4">
        <v>3</v>
      </c>
      <c r="E1146" s="4">
        <v>1500</v>
      </c>
      <c r="F1146" s="4">
        <v>6505531</v>
      </c>
      <c r="G1146" s="4">
        <v>4</v>
      </c>
      <c r="H1146" s="4">
        <v>1</v>
      </c>
      <c r="I1146" s="4" t="s">
        <v>27</v>
      </c>
      <c r="J1146" s="4" t="s">
        <v>19</v>
      </c>
      <c r="K1146" s="4" t="s">
        <v>20</v>
      </c>
      <c r="L1146" s="9">
        <v>45839</v>
      </c>
      <c r="M1146" s="9" t="str">
        <f>TEXT(Source_data[[#This Row],[Listing_Date]],"mmm-yy")</f>
        <v>Jul-25</v>
      </c>
      <c r="N1146" s="4">
        <f t="shared" si="17"/>
        <v>4337.0206666666663</v>
      </c>
      <c r="O1146" s="3" cm="1">
        <f t="array" ref="O1146">_xlfn.IFS(AND(K1146="Broker",J1146="Resale"),F1146*0.5,AND(K1146="Owner",J1146="Resale"),F1146*0,AND(K1146="Builder",J1146="Resale"),F1146*0.3,AND(J1146="New",K1146="Broker"),F1146*0.1,AND(J1146="New",K1146="Owner"),F1146*0,AND(J1146="New",K1146="Builder"),F1146*0.5)</f>
        <v>650553.10000000009</v>
      </c>
    </row>
    <row r="1147" spans="1:15" x14ac:dyDescent="0.3">
      <c r="A1147" s="8" t="s">
        <v>1223</v>
      </c>
      <c r="B1147" s="4" t="s">
        <v>1156</v>
      </c>
      <c r="C1147" s="4" t="s">
        <v>1160</v>
      </c>
      <c r="D1147" s="4">
        <v>1</v>
      </c>
      <c r="E1147" s="4">
        <v>350</v>
      </c>
      <c r="F1147" s="4">
        <v>1868654</v>
      </c>
      <c r="G1147" s="4">
        <v>1</v>
      </c>
      <c r="H1147" s="4">
        <v>1</v>
      </c>
      <c r="I1147" s="4" t="s">
        <v>8</v>
      </c>
      <c r="J1147" s="4" t="s">
        <v>23</v>
      </c>
      <c r="K1147" s="4" t="s">
        <v>36</v>
      </c>
      <c r="L1147" s="9">
        <v>45894</v>
      </c>
      <c r="M1147" s="9" t="str">
        <f>TEXT(Source_data[[#This Row],[Listing_Date]],"mmm-yy")</f>
        <v>Aug-25</v>
      </c>
      <c r="N1147" s="4">
        <f t="shared" si="17"/>
        <v>5339.011428571429</v>
      </c>
      <c r="O1147" s="3" cm="1">
        <f t="array" ref="O1147">_xlfn.IFS(AND(K1147="Broker",J1147="Resale"),F1147*0.5,AND(K1147="Owner",J1147="Resale"),F1147*0,AND(K1147="Builder",J1147="Resale"),F1147*0.3,AND(J1147="New",K1147="Broker"),F1147*0.1,AND(J1147="New",K1147="Owner"),F1147*0,AND(J1147="New",K1147="Builder"),F1147*0.5)</f>
        <v>0</v>
      </c>
    </row>
    <row r="1148" spans="1:15" x14ac:dyDescent="0.3">
      <c r="A1148" s="8" t="s">
        <v>1224</v>
      </c>
      <c r="B1148" s="4" t="s">
        <v>1156</v>
      </c>
      <c r="C1148" s="4" t="s">
        <v>1169</v>
      </c>
      <c r="D1148" s="4">
        <v>3</v>
      </c>
      <c r="E1148" s="4">
        <v>1652</v>
      </c>
      <c r="F1148" s="4">
        <v>7562684</v>
      </c>
      <c r="G1148" s="4">
        <v>3</v>
      </c>
      <c r="H1148" s="4">
        <v>2</v>
      </c>
      <c r="I1148" s="4" t="s">
        <v>18</v>
      </c>
      <c r="J1148" s="4" t="s">
        <v>23</v>
      </c>
      <c r="K1148" s="4" t="s">
        <v>36</v>
      </c>
      <c r="L1148" s="9">
        <v>45293</v>
      </c>
      <c r="M1148" s="9" t="str">
        <f>TEXT(Source_data[[#This Row],[Listing_Date]],"mmm-yy")</f>
        <v>Jan-24</v>
      </c>
      <c r="N1148" s="4">
        <f t="shared" si="17"/>
        <v>4577.8958837772398</v>
      </c>
      <c r="O1148" s="3" cm="1">
        <f t="array" ref="O1148">_xlfn.IFS(AND(K1148="Broker",J1148="Resale"),F1148*0.5,AND(K1148="Owner",J1148="Resale"),F1148*0,AND(K1148="Builder",J1148="Resale"),F1148*0.3,AND(J1148="New",K1148="Broker"),F1148*0.1,AND(J1148="New",K1148="Owner"),F1148*0,AND(J1148="New",K1148="Builder"),F1148*0.5)</f>
        <v>0</v>
      </c>
    </row>
    <row r="1149" spans="1:15" x14ac:dyDescent="0.3">
      <c r="A1149" s="8" t="s">
        <v>1225</v>
      </c>
      <c r="B1149" s="4" t="s">
        <v>1156</v>
      </c>
      <c r="C1149" s="4" t="s">
        <v>1167</v>
      </c>
      <c r="D1149" s="4">
        <v>4</v>
      </c>
      <c r="E1149" s="4">
        <v>1403</v>
      </c>
      <c r="F1149" s="4">
        <v>6056349</v>
      </c>
      <c r="G1149" s="4">
        <v>3</v>
      </c>
      <c r="H1149" s="4">
        <v>3</v>
      </c>
      <c r="I1149" s="4" t="s">
        <v>8</v>
      </c>
      <c r="J1149" s="4" t="s">
        <v>23</v>
      </c>
      <c r="K1149" s="4" t="s">
        <v>20</v>
      </c>
      <c r="L1149" s="9">
        <v>45401</v>
      </c>
      <c r="M1149" s="9" t="str">
        <f>TEXT(Source_data[[#This Row],[Listing_Date]],"mmm-yy")</f>
        <v>Apr-24</v>
      </c>
      <c r="N1149" s="4">
        <f t="shared" si="17"/>
        <v>4316.7134711332856</v>
      </c>
      <c r="O1149" s="3" cm="1">
        <f t="array" ref="O1149">_xlfn.IFS(AND(K1149="Broker",J1149="Resale"),F1149*0.5,AND(K1149="Owner",J1149="Resale"),F1149*0,AND(K1149="Builder",J1149="Resale"),F1149*0.3,AND(J1149="New",K1149="Broker"),F1149*0.1,AND(J1149="New",K1149="Owner"),F1149*0,AND(J1149="New",K1149="Builder"),F1149*0.5)</f>
        <v>3028174.5</v>
      </c>
    </row>
    <row r="1150" spans="1:15" x14ac:dyDescent="0.3">
      <c r="A1150" s="8" t="s">
        <v>1226</v>
      </c>
      <c r="B1150" s="4" t="s">
        <v>1156</v>
      </c>
      <c r="C1150" s="4" t="s">
        <v>1160</v>
      </c>
      <c r="D1150" s="4">
        <v>3</v>
      </c>
      <c r="E1150" s="4">
        <v>1703</v>
      </c>
      <c r="F1150" s="4">
        <v>8381586</v>
      </c>
      <c r="G1150" s="4">
        <v>3</v>
      </c>
      <c r="H1150" s="4">
        <v>2</v>
      </c>
      <c r="I1150" s="4" t="s">
        <v>8</v>
      </c>
      <c r="J1150" s="4" t="s">
        <v>19</v>
      </c>
      <c r="K1150" s="4" t="s">
        <v>36</v>
      </c>
      <c r="L1150" s="9">
        <v>45818</v>
      </c>
      <c r="M1150" s="9" t="str">
        <f>TEXT(Source_data[[#This Row],[Listing_Date]],"mmm-yy")</f>
        <v>Jun-25</v>
      </c>
      <c r="N1150" s="4">
        <f t="shared" si="17"/>
        <v>4921.6594245449205</v>
      </c>
      <c r="O1150" s="3" cm="1">
        <f t="array" ref="O1150">_xlfn.IFS(AND(K1150="Broker",J1150="Resale"),F1150*0.5,AND(K1150="Owner",J1150="Resale"),F1150*0,AND(K1150="Builder",J1150="Resale"),F1150*0.3,AND(J1150="New",K1150="Broker"),F1150*0.1,AND(J1150="New",K1150="Owner"),F1150*0,AND(J1150="New",K1150="Builder"),F1150*0.5)</f>
        <v>0</v>
      </c>
    </row>
    <row r="1151" spans="1:15" x14ac:dyDescent="0.3">
      <c r="A1151" s="8" t="s">
        <v>1227</v>
      </c>
      <c r="B1151" s="4" t="s">
        <v>1156</v>
      </c>
      <c r="C1151" s="4" t="s">
        <v>1169</v>
      </c>
      <c r="D1151" s="4">
        <v>4</v>
      </c>
      <c r="E1151" s="4">
        <v>1531</v>
      </c>
      <c r="F1151" s="4">
        <v>10227030</v>
      </c>
      <c r="G1151" s="4">
        <v>2</v>
      </c>
      <c r="H1151" s="4">
        <v>3</v>
      </c>
      <c r="I1151" s="4" t="s">
        <v>18</v>
      </c>
      <c r="J1151" s="4" t="s">
        <v>23</v>
      </c>
      <c r="K1151" s="4" t="s">
        <v>36</v>
      </c>
      <c r="L1151" s="9">
        <v>45488</v>
      </c>
      <c r="M1151" s="9" t="str">
        <f>TEXT(Source_data[[#This Row],[Listing_Date]],"mmm-yy")</f>
        <v>Jul-24</v>
      </c>
      <c r="N1151" s="4">
        <f t="shared" si="17"/>
        <v>6679.9673416067926</v>
      </c>
      <c r="O1151" s="3" cm="1">
        <f t="array" ref="O1151">_xlfn.IFS(AND(K1151="Broker",J1151="Resale"),F1151*0.5,AND(K1151="Owner",J1151="Resale"),F1151*0,AND(K1151="Builder",J1151="Resale"),F1151*0.3,AND(J1151="New",K1151="Broker"),F1151*0.1,AND(J1151="New",K1151="Owner"),F1151*0,AND(J1151="New",K1151="Builder"),F1151*0.5)</f>
        <v>0</v>
      </c>
    </row>
    <row r="1152" spans="1:15" x14ac:dyDescent="0.3">
      <c r="A1152" s="8" t="s">
        <v>1228</v>
      </c>
      <c r="B1152" s="4" t="s">
        <v>1156</v>
      </c>
      <c r="C1152" s="4" t="s">
        <v>1169</v>
      </c>
      <c r="D1152" s="4">
        <v>5</v>
      </c>
      <c r="E1152" s="4">
        <v>2722</v>
      </c>
      <c r="F1152" s="4">
        <v>11427010</v>
      </c>
      <c r="G1152" s="4">
        <v>3</v>
      </c>
      <c r="H1152" s="4">
        <v>2</v>
      </c>
      <c r="I1152" s="4" t="s">
        <v>27</v>
      </c>
      <c r="J1152" s="4" t="s">
        <v>19</v>
      </c>
      <c r="K1152" s="4" t="s">
        <v>20</v>
      </c>
      <c r="L1152" s="9">
        <v>45654</v>
      </c>
      <c r="M1152" s="9" t="str">
        <f>TEXT(Source_data[[#This Row],[Listing_Date]],"mmm-yy")</f>
        <v>Dec-24</v>
      </c>
      <c r="N1152" s="4">
        <f t="shared" si="17"/>
        <v>4198.019838354151</v>
      </c>
      <c r="O1152" s="3" cm="1">
        <f t="array" ref="O1152">_xlfn.IFS(AND(K1152="Broker",J1152="Resale"),F1152*0.5,AND(K1152="Owner",J1152="Resale"),F1152*0,AND(K1152="Builder",J1152="Resale"),F1152*0.3,AND(J1152="New",K1152="Broker"),F1152*0.1,AND(J1152="New",K1152="Owner"),F1152*0,AND(J1152="New",K1152="Builder"),F1152*0.5)</f>
        <v>1142701</v>
      </c>
    </row>
    <row r="1153" spans="1:15" x14ac:dyDescent="0.3">
      <c r="A1153" s="8" t="s">
        <v>1229</v>
      </c>
      <c r="B1153" s="4" t="s">
        <v>1156</v>
      </c>
      <c r="C1153" s="4" t="s">
        <v>1164</v>
      </c>
      <c r="D1153" s="4">
        <v>3</v>
      </c>
      <c r="E1153" s="4">
        <v>1700</v>
      </c>
      <c r="F1153" s="4">
        <v>9421687</v>
      </c>
      <c r="G1153" s="4">
        <v>3</v>
      </c>
      <c r="H1153" s="4">
        <v>2</v>
      </c>
      <c r="I1153" s="4" t="s">
        <v>18</v>
      </c>
      <c r="J1153" s="4" t="s">
        <v>23</v>
      </c>
      <c r="K1153" s="4" t="s">
        <v>36</v>
      </c>
      <c r="L1153" s="9">
        <v>45047</v>
      </c>
      <c r="M1153" s="9" t="str">
        <f>TEXT(Source_data[[#This Row],[Listing_Date]],"mmm-yy")</f>
        <v>May-23</v>
      </c>
      <c r="N1153" s="4">
        <f t="shared" si="17"/>
        <v>5542.1688235294114</v>
      </c>
      <c r="O1153" s="3" cm="1">
        <f t="array" ref="O1153">_xlfn.IFS(AND(K1153="Broker",J1153="Resale"),F1153*0.5,AND(K1153="Owner",J1153="Resale"),F1153*0,AND(K1153="Builder",J1153="Resale"),F1153*0.3,AND(J1153="New",K1153="Broker"),F1153*0.1,AND(J1153="New",K1153="Owner"),F1153*0,AND(J1153="New",K1153="Builder"),F1153*0.5)</f>
        <v>0</v>
      </c>
    </row>
    <row r="1154" spans="1:15" x14ac:dyDescent="0.3">
      <c r="A1154" s="8" t="s">
        <v>1230</v>
      </c>
      <c r="B1154" s="4" t="s">
        <v>1156</v>
      </c>
      <c r="C1154" s="4" t="s">
        <v>1169</v>
      </c>
      <c r="D1154" s="4">
        <v>3</v>
      </c>
      <c r="E1154" s="4">
        <v>1264</v>
      </c>
      <c r="F1154" s="4">
        <v>5670967</v>
      </c>
      <c r="G1154" s="4">
        <v>3</v>
      </c>
      <c r="H1154" s="4">
        <v>2</v>
      </c>
      <c r="I1154" s="4" t="s">
        <v>27</v>
      </c>
      <c r="J1154" s="4" t="s">
        <v>23</v>
      </c>
      <c r="K1154" s="4" t="s">
        <v>24</v>
      </c>
      <c r="L1154" s="9">
        <v>45188</v>
      </c>
      <c r="M1154" s="9" t="str">
        <f>TEXT(Source_data[[#This Row],[Listing_Date]],"mmm-yy")</f>
        <v>Sep-23</v>
      </c>
      <c r="N1154" s="4">
        <f t="shared" si="17"/>
        <v>4486.5245253164558</v>
      </c>
      <c r="O1154" s="3" cm="1">
        <f t="array" ref="O1154">_xlfn.IFS(AND(K1154="Broker",J1154="Resale"),F1154*0.5,AND(K1154="Owner",J1154="Resale"),F1154*0,AND(K1154="Builder",J1154="Resale"),F1154*0.3,AND(J1154="New",K1154="Broker"),F1154*0.1,AND(J1154="New",K1154="Owner"),F1154*0,AND(J1154="New",K1154="Builder"),F1154*0.5)</f>
        <v>1701290.0999999999</v>
      </c>
    </row>
    <row r="1155" spans="1:15" x14ac:dyDescent="0.3">
      <c r="A1155" s="8" t="s">
        <v>1231</v>
      </c>
      <c r="B1155" s="4" t="s">
        <v>1156</v>
      </c>
      <c r="C1155" s="4" t="s">
        <v>1157</v>
      </c>
      <c r="D1155" s="4">
        <v>2</v>
      </c>
      <c r="E1155" s="4">
        <v>804</v>
      </c>
      <c r="F1155" s="4">
        <v>4197869</v>
      </c>
      <c r="G1155" s="4">
        <v>2</v>
      </c>
      <c r="H1155" s="4">
        <v>2</v>
      </c>
      <c r="I1155" s="4" t="s">
        <v>18</v>
      </c>
      <c r="J1155" s="4" t="s">
        <v>23</v>
      </c>
      <c r="K1155" s="4" t="s">
        <v>36</v>
      </c>
      <c r="L1155" s="9">
        <v>45289</v>
      </c>
      <c r="M1155" s="9" t="str">
        <f>TEXT(Source_data[[#This Row],[Listing_Date]],"mmm-yy")</f>
        <v>Dec-23</v>
      </c>
      <c r="N1155" s="4">
        <f t="shared" ref="N1155:N1218" si="18">F1155/E1155</f>
        <v>5221.230099502488</v>
      </c>
      <c r="O1155" s="3" cm="1">
        <f t="array" ref="O1155">_xlfn.IFS(AND(K1155="Broker",J1155="Resale"),F1155*0.5,AND(K1155="Owner",J1155="Resale"),F1155*0,AND(K1155="Builder",J1155="Resale"),F1155*0.3,AND(J1155="New",K1155="Broker"),F1155*0.1,AND(J1155="New",K1155="Owner"),F1155*0,AND(J1155="New",K1155="Builder"),F1155*0.5)</f>
        <v>0</v>
      </c>
    </row>
    <row r="1156" spans="1:15" x14ac:dyDescent="0.3">
      <c r="A1156" s="8" t="s">
        <v>1232</v>
      </c>
      <c r="B1156" s="4" t="s">
        <v>1156</v>
      </c>
      <c r="C1156" s="4" t="s">
        <v>1167</v>
      </c>
      <c r="D1156" s="4">
        <v>2</v>
      </c>
      <c r="E1156" s="4">
        <v>1051</v>
      </c>
      <c r="F1156" s="4">
        <v>5135527</v>
      </c>
      <c r="G1156" s="4">
        <v>1</v>
      </c>
      <c r="H1156" s="4">
        <v>0</v>
      </c>
      <c r="I1156" s="4" t="s">
        <v>18</v>
      </c>
      <c r="J1156" s="4" t="s">
        <v>23</v>
      </c>
      <c r="K1156" s="4" t="s">
        <v>20</v>
      </c>
      <c r="L1156" s="9">
        <v>45183</v>
      </c>
      <c r="M1156" s="9" t="str">
        <f>TEXT(Source_data[[#This Row],[Listing_Date]],"mmm-yy")</f>
        <v>Sep-23</v>
      </c>
      <c r="N1156" s="4">
        <f t="shared" si="18"/>
        <v>4886.3244529019985</v>
      </c>
      <c r="O1156" s="3" cm="1">
        <f t="array" ref="O1156">_xlfn.IFS(AND(K1156="Broker",J1156="Resale"),F1156*0.5,AND(K1156="Owner",J1156="Resale"),F1156*0,AND(K1156="Builder",J1156="Resale"),F1156*0.3,AND(J1156="New",K1156="Broker"),F1156*0.1,AND(J1156="New",K1156="Owner"),F1156*0,AND(J1156="New",K1156="Builder"),F1156*0.5)</f>
        <v>2567763.5</v>
      </c>
    </row>
    <row r="1157" spans="1:15" x14ac:dyDescent="0.3">
      <c r="A1157" s="8" t="s">
        <v>1233</v>
      </c>
      <c r="B1157" s="4" t="s">
        <v>1156</v>
      </c>
      <c r="C1157" s="4" t="s">
        <v>1157</v>
      </c>
      <c r="D1157" s="4">
        <v>3</v>
      </c>
      <c r="E1157" s="4">
        <v>1340</v>
      </c>
      <c r="F1157" s="4">
        <v>5583325</v>
      </c>
      <c r="G1157" s="4">
        <v>3</v>
      </c>
      <c r="H1157" s="4">
        <v>1</v>
      </c>
      <c r="I1157" s="4" t="s">
        <v>8</v>
      </c>
      <c r="J1157" s="4" t="s">
        <v>23</v>
      </c>
      <c r="K1157" s="4" t="s">
        <v>20</v>
      </c>
      <c r="L1157" s="9">
        <v>45444</v>
      </c>
      <c r="M1157" s="9" t="str">
        <f>TEXT(Source_data[[#This Row],[Listing_Date]],"mmm-yy")</f>
        <v>Jun-24</v>
      </c>
      <c r="N1157" s="4">
        <f t="shared" si="18"/>
        <v>4166.6604477611936</v>
      </c>
      <c r="O1157" s="3" cm="1">
        <f t="array" ref="O1157">_xlfn.IFS(AND(K1157="Broker",J1157="Resale"),F1157*0.5,AND(K1157="Owner",J1157="Resale"),F1157*0,AND(K1157="Builder",J1157="Resale"),F1157*0.3,AND(J1157="New",K1157="Broker"),F1157*0.1,AND(J1157="New",K1157="Owner"),F1157*0,AND(J1157="New",K1157="Builder"),F1157*0.5)</f>
        <v>2791662.5</v>
      </c>
    </row>
    <row r="1158" spans="1:15" x14ac:dyDescent="0.3">
      <c r="A1158" s="8" t="s">
        <v>1234</v>
      </c>
      <c r="B1158" s="4" t="s">
        <v>1156</v>
      </c>
      <c r="C1158" s="4" t="s">
        <v>1157</v>
      </c>
      <c r="D1158" s="4">
        <v>4</v>
      </c>
      <c r="E1158" s="4">
        <v>1204</v>
      </c>
      <c r="F1158" s="4">
        <v>15305019</v>
      </c>
      <c r="G1158" s="4">
        <v>2</v>
      </c>
      <c r="H1158" s="4">
        <v>2</v>
      </c>
      <c r="I1158" s="4" t="s">
        <v>8</v>
      </c>
      <c r="J1158" s="4" t="s">
        <v>19</v>
      </c>
      <c r="K1158" s="4" t="s">
        <v>24</v>
      </c>
      <c r="L1158" s="9">
        <v>45307</v>
      </c>
      <c r="M1158" s="9" t="str">
        <f>TEXT(Source_data[[#This Row],[Listing_Date]],"mmm-yy")</f>
        <v>Jan-24</v>
      </c>
      <c r="N1158" s="4">
        <f t="shared" si="18"/>
        <v>12711.809800664452</v>
      </c>
      <c r="O1158" s="3" cm="1">
        <f t="array" ref="O1158">_xlfn.IFS(AND(K1158="Broker",J1158="Resale"),F1158*0.5,AND(K1158="Owner",J1158="Resale"),F1158*0,AND(K1158="Builder",J1158="Resale"),F1158*0.3,AND(J1158="New",K1158="Broker"),F1158*0.1,AND(J1158="New",K1158="Owner"),F1158*0,AND(J1158="New",K1158="Builder"),F1158*0.5)</f>
        <v>7652509.5</v>
      </c>
    </row>
    <row r="1159" spans="1:15" x14ac:dyDescent="0.3">
      <c r="A1159" s="8" t="s">
        <v>1235</v>
      </c>
      <c r="B1159" s="4" t="s">
        <v>1156</v>
      </c>
      <c r="C1159" s="4" t="s">
        <v>1167</v>
      </c>
      <c r="D1159" s="4">
        <v>2</v>
      </c>
      <c r="E1159" s="4">
        <v>791</v>
      </c>
      <c r="F1159" s="4">
        <v>3384887</v>
      </c>
      <c r="G1159" s="4">
        <v>2</v>
      </c>
      <c r="H1159" s="4">
        <v>1</v>
      </c>
      <c r="I1159" s="4" t="s">
        <v>27</v>
      </c>
      <c r="J1159" s="4" t="s">
        <v>19</v>
      </c>
      <c r="K1159" s="4" t="s">
        <v>20</v>
      </c>
      <c r="L1159" s="9">
        <v>45531</v>
      </c>
      <c r="M1159" s="9" t="str">
        <f>TEXT(Source_data[[#This Row],[Listing_Date]],"mmm-yy")</f>
        <v>Aug-24</v>
      </c>
      <c r="N1159" s="4">
        <f t="shared" si="18"/>
        <v>4279.2503160556262</v>
      </c>
      <c r="O1159" s="3" cm="1">
        <f t="array" ref="O1159">_xlfn.IFS(AND(K1159="Broker",J1159="Resale"),F1159*0.5,AND(K1159="Owner",J1159="Resale"),F1159*0,AND(K1159="Builder",J1159="Resale"),F1159*0.3,AND(J1159="New",K1159="Broker"),F1159*0.1,AND(J1159="New",K1159="Owner"),F1159*0,AND(J1159="New",K1159="Builder"),F1159*0.5)</f>
        <v>338488.7</v>
      </c>
    </row>
    <row r="1160" spans="1:15" x14ac:dyDescent="0.3">
      <c r="A1160" s="8" t="s">
        <v>1236</v>
      </c>
      <c r="B1160" s="4" t="s">
        <v>1156</v>
      </c>
      <c r="C1160" s="4" t="s">
        <v>1160</v>
      </c>
      <c r="D1160" s="4">
        <v>4</v>
      </c>
      <c r="E1160" s="4">
        <v>1061</v>
      </c>
      <c r="F1160" s="4">
        <v>5813878</v>
      </c>
      <c r="G1160" s="4">
        <v>3</v>
      </c>
      <c r="H1160" s="4">
        <v>2</v>
      </c>
      <c r="I1160" s="4" t="s">
        <v>18</v>
      </c>
      <c r="J1160" s="4" t="s">
        <v>19</v>
      </c>
      <c r="K1160" s="4" t="s">
        <v>24</v>
      </c>
      <c r="L1160" s="9">
        <v>45177</v>
      </c>
      <c r="M1160" s="9" t="str">
        <f>TEXT(Source_data[[#This Row],[Listing_Date]],"mmm-yy")</f>
        <v>Sep-23</v>
      </c>
      <c r="N1160" s="4">
        <f t="shared" si="18"/>
        <v>5479.621112158341</v>
      </c>
      <c r="O1160" s="3" cm="1">
        <f t="array" ref="O1160">_xlfn.IFS(AND(K1160="Broker",J1160="Resale"),F1160*0.5,AND(K1160="Owner",J1160="Resale"),F1160*0,AND(K1160="Builder",J1160="Resale"),F1160*0.3,AND(J1160="New",K1160="Broker"),F1160*0.1,AND(J1160="New",K1160="Owner"),F1160*0,AND(J1160="New",K1160="Builder"),F1160*0.5)</f>
        <v>2906939</v>
      </c>
    </row>
    <row r="1161" spans="1:15" x14ac:dyDescent="0.3">
      <c r="A1161" s="8" t="s">
        <v>1237</v>
      </c>
      <c r="B1161" s="4" t="s">
        <v>1156</v>
      </c>
      <c r="C1161" s="4" t="s">
        <v>1160</v>
      </c>
      <c r="D1161" s="4">
        <v>1</v>
      </c>
      <c r="E1161" s="4">
        <v>574</v>
      </c>
      <c r="F1161" s="4">
        <v>3077415</v>
      </c>
      <c r="G1161" s="4">
        <v>2</v>
      </c>
      <c r="H1161" s="4">
        <v>1</v>
      </c>
      <c r="I1161" s="4" t="s">
        <v>27</v>
      </c>
      <c r="J1161" s="4" t="s">
        <v>19</v>
      </c>
      <c r="K1161" s="4" t="s">
        <v>36</v>
      </c>
      <c r="L1161" s="9">
        <v>45384</v>
      </c>
      <c r="M1161" s="9" t="str">
        <f>TEXT(Source_data[[#This Row],[Listing_Date]],"mmm-yy")</f>
        <v>Apr-24</v>
      </c>
      <c r="N1161" s="4">
        <f t="shared" si="18"/>
        <v>5361.3501742160279</v>
      </c>
      <c r="O1161" s="3" cm="1">
        <f t="array" ref="O1161">_xlfn.IFS(AND(K1161="Broker",J1161="Resale"),F1161*0.5,AND(K1161="Owner",J1161="Resale"),F1161*0,AND(K1161="Builder",J1161="Resale"),F1161*0.3,AND(J1161="New",K1161="Broker"),F1161*0.1,AND(J1161="New",K1161="Owner"),F1161*0,AND(J1161="New",K1161="Builder"),F1161*0.5)</f>
        <v>0</v>
      </c>
    </row>
    <row r="1162" spans="1:15" x14ac:dyDescent="0.3">
      <c r="A1162" s="8" t="s">
        <v>1238</v>
      </c>
      <c r="B1162" s="4" t="s">
        <v>1156</v>
      </c>
      <c r="C1162" s="4" t="s">
        <v>1162</v>
      </c>
      <c r="D1162" s="4">
        <v>1</v>
      </c>
      <c r="E1162" s="4">
        <v>588</v>
      </c>
      <c r="F1162" s="4">
        <v>3164345</v>
      </c>
      <c r="G1162" s="4">
        <v>2</v>
      </c>
      <c r="H1162" s="4">
        <v>2</v>
      </c>
      <c r="I1162" s="4" t="s">
        <v>8</v>
      </c>
      <c r="J1162" s="4" t="s">
        <v>19</v>
      </c>
      <c r="K1162" s="4" t="s">
        <v>36</v>
      </c>
      <c r="L1162" s="9">
        <v>45520</v>
      </c>
      <c r="M1162" s="9" t="str">
        <f>TEXT(Source_data[[#This Row],[Listing_Date]],"mmm-yy")</f>
        <v>Aug-24</v>
      </c>
      <c r="N1162" s="4">
        <f t="shared" si="18"/>
        <v>5381.5391156462583</v>
      </c>
      <c r="O1162" s="3" cm="1">
        <f t="array" ref="O1162">_xlfn.IFS(AND(K1162="Broker",J1162="Resale"),F1162*0.5,AND(K1162="Owner",J1162="Resale"),F1162*0,AND(K1162="Builder",J1162="Resale"),F1162*0.3,AND(J1162="New",K1162="Broker"),F1162*0.1,AND(J1162="New",K1162="Owner"),F1162*0,AND(J1162="New",K1162="Builder"),F1162*0.5)</f>
        <v>0</v>
      </c>
    </row>
    <row r="1163" spans="1:15" x14ac:dyDescent="0.3">
      <c r="A1163" s="8" t="s">
        <v>1239</v>
      </c>
      <c r="B1163" s="4" t="s">
        <v>1156</v>
      </c>
      <c r="C1163" s="4" t="s">
        <v>1167</v>
      </c>
      <c r="D1163" s="4">
        <v>2</v>
      </c>
      <c r="E1163" s="4">
        <v>1121</v>
      </c>
      <c r="F1163" s="4">
        <v>6344209</v>
      </c>
      <c r="G1163" s="4">
        <v>3</v>
      </c>
      <c r="H1163" s="4">
        <v>3</v>
      </c>
      <c r="I1163" s="4" t="s">
        <v>18</v>
      </c>
      <c r="J1163" s="4" t="s">
        <v>23</v>
      </c>
      <c r="K1163" s="4" t="s">
        <v>24</v>
      </c>
      <c r="L1163" s="9">
        <v>45374</v>
      </c>
      <c r="M1163" s="9" t="str">
        <f>TEXT(Source_data[[#This Row],[Listing_Date]],"mmm-yy")</f>
        <v>Mar-24</v>
      </c>
      <c r="N1163" s="4">
        <f t="shared" si="18"/>
        <v>5659.4192685102589</v>
      </c>
      <c r="O1163" s="3" cm="1">
        <f t="array" ref="O1163">_xlfn.IFS(AND(K1163="Broker",J1163="Resale"),F1163*0.5,AND(K1163="Owner",J1163="Resale"),F1163*0,AND(K1163="Builder",J1163="Resale"),F1163*0.3,AND(J1163="New",K1163="Broker"),F1163*0.1,AND(J1163="New",K1163="Owner"),F1163*0,AND(J1163="New",K1163="Builder"),F1163*0.5)</f>
        <v>1903262.7</v>
      </c>
    </row>
    <row r="1164" spans="1:15" x14ac:dyDescent="0.3">
      <c r="A1164" s="8" t="s">
        <v>1240</v>
      </c>
      <c r="B1164" s="4" t="s">
        <v>1156</v>
      </c>
      <c r="C1164" s="4" t="s">
        <v>1157</v>
      </c>
      <c r="D1164" s="4">
        <v>3</v>
      </c>
      <c r="E1164" s="4">
        <v>949</v>
      </c>
      <c r="F1164" s="4">
        <v>6712183</v>
      </c>
      <c r="G1164" s="4">
        <v>4</v>
      </c>
      <c r="H1164" s="4">
        <v>2</v>
      </c>
      <c r="I1164" s="4" t="s">
        <v>18</v>
      </c>
      <c r="J1164" s="4" t="s">
        <v>19</v>
      </c>
      <c r="K1164" s="4" t="s">
        <v>36</v>
      </c>
      <c r="L1164" s="9">
        <v>45818</v>
      </c>
      <c r="M1164" s="9" t="str">
        <f>TEXT(Source_data[[#This Row],[Listing_Date]],"mmm-yy")</f>
        <v>Jun-25</v>
      </c>
      <c r="N1164" s="4">
        <f t="shared" si="18"/>
        <v>7072.9009483667014</v>
      </c>
      <c r="O1164" s="3" cm="1">
        <f t="array" ref="O1164">_xlfn.IFS(AND(K1164="Broker",J1164="Resale"),F1164*0.5,AND(K1164="Owner",J1164="Resale"),F1164*0,AND(K1164="Builder",J1164="Resale"),F1164*0.3,AND(J1164="New",K1164="Broker"),F1164*0.1,AND(J1164="New",K1164="Owner"),F1164*0,AND(J1164="New",K1164="Builder"),F1164*0.5)</f>
        <v>0</v>
      </c>
    </row>
    <row r="1165" spans="1:15" x14ac:dyDescent="0.3">
      <c r="A1165" s="8" t="s">
        <v>1241</v>
      </c>
      <c r="B1165" s="4" t="s">
        <v>1156</v>
      </c>
      <c r="C1165" s="4" t="s">
        <v>1157</v>
      </c>
      <c r="D1165" s="4">
        <v>3</v>
      </c>
      <c r="E1165" s="4">
        <v>1050</v>
      </c>
      <c r="F1165" s="4">
        <v>5726409</v>
      </c>
      <c r="G1165" s="4">
        <v>2</v>
      </c>
      <c r="H1165" s="4">
        <v>2</v>
      </c>
      <c r="I1165" s="4" t="s">
        <v>18</v>
      </c>
      <c r="J1165" s="4" t="s">
        <v>23</v>
      </c>
      <c r="K1165" s="4" t="s">
        <v>24</v>
      </c>
      <c r="L1165" s="9">
        <v>45542</v>
      </c>
      <c r="M1165" s="9" t="str">
        <f>TEXT(Source_data[[#This Row],[Listing_Date]],"mmm-yy")</f>
        <v>Sep-24</v>
      </c>
      <c r="N1165" s="4">
        <f t="shared" si="18"/>
        <v>5453.7228571428568</v>
      </c>
      <c r="O1165" s="3" cm="1">
        <f t="array" ref="O1165">_xlfn.IFS(AND(K1165="Broker",J1165="Resale"),F1165*0.5,AND(K1165="Owner",J1165="Resale"),F1165*0,AND(K1165="Builder",J1165="Resale"),F1165*0.3,AND(J1165="New",K1165="Broker"),F1165*0.1,AND(J1165="New",K1165="Owner"),F1165*0,AND(J1165="New",K1165="Builder"),F1165*0.5)</f>
        <v>1717922.7</v>
      </c>
    </row>
    <row r="1166" spans="1:15" x14ac:dyDescent="0.3">
      <c r="A1166" s="8" t="s">
        <v>1242</v>
      </c>
      <c r="B1166" s="4" t="s">
        <v>1156</v>
      </c>
      <c r="C1166" s="4" t="s">
        <v>1164</v>
      </c>
      <c r="D1166" s="4">
        <v>5</v>
      </c>
      <c r="E1166" s="4">
        <v>2480</v>
      </c>
      <c r="F1166" s="4">
        <v>15685456</v>
      </c>
      <c r="G1166" s="4">
        <v>2</v>
      </c>
      <c r="H1166" s="4">
        <v>2</v>
      </c>
      <c r="I1166" s="4" t="s">
        <v>18</v>
      </c>
      <c r="J1166" s="4" t="s">
        <v>23</v>
      </c>
      <c r="K1166" s="4" t="s">
        <v>36</v>
      </c>
      <c r="L1166" s="9">
        <v>45384</v>
      </c>
      <c r="M1166" s="9" t="str">
        <f>TEXT(Source_data[[#This Row],[Listing_Date]],"mmm-yy")</f>
        <v>Apr-24</v>
      </c>
      <c r="N1166" s="4">
        <f t="shared" si="18"/>
        <v>6324.7806451612905</v>
      </c>
      <c r="O1166" s="3" cm="1">
        <f t="array" ref="O1166">_xlfn.IFS(AND(K1166="Broker",J1166="Resale"),F1166*0.5,AND(K1166="Owner",J1166="Resale"),F1166*0,AND(K1166="Builder",J1166="Resale"),F1166*0.3,AND(J1166="New",K1166="Broker"),F1166*0.1,AND(J1166="New",K1166="Owner"),F1166*0,AND(J1166="New",K1166="Builder"),F1166*0.5)</f>
        <v>0</v>
      </c>
    </row>
    <row r="1167" spans="1:15" x14ac:dyDescent="0.3">
      <c r="A1167" s="8" t="s">
        <v>1243</v>
      </c>
      <c r="B1167" s="4" t="s">
        <v>1156</v>
      </c>
      <c r="C1167" s="4" t="s">
        <v>1160</v>
      </c>
      <c r="D1167" s="4">
        <v>2</v>
      </c>
      <c r="E1167" s="4">
        <v>976</v>
      </c>
      <c r="F1167" s="4">
        <v>6444762</v>
      </c>
      <c r="G1167" s="4">
        <v>1</v>
      </c>
      <c r="H1167" s="4">
        <v>1</v>
      </c>
      <c r="I1167" s="4" t="s">
        <v>18</v>
      </c>
      <c r="J1167" s="4" t="s">
        <v>23</v>
      </c>
      <c r="K1167" s="4" t="s">
        <v>36</v>
      </c>
      <c r="L1167" s="9">
        <v>45737</v>
      </c>
      <c r="M1167" s="9" t="str">
        <f>TEXT(Source_data[[#This Row],[Listing_Date]],"mmm-yy")</f>
        <v>Mar-25</v>
      </c>
      <c r="N1167" s="4">
        <f t="shared" si="18"/>
        <v>6603.2397540983602</v>
      </c>
      <c r="O1167" s="3" cm="1">
        <f t="array" ref="O1167">_xlfn.IFS(AND(K1167="Broker",J1167="Resale"),F1167*0.5,AND(K1167="Owner",J1167="Resale"),F1167*0,AND(K1167="Builder",J1167="Resale"),F1167*0.3,AND(J1167="New",K1167="Broker"),F1167*0.1,AND(J1167="New",K1167="Owner"),F1167*0,AND(J1167="New",K1167="Builder"),F1167*0.5)</f>
        <v>0</v>
      </c>
    </row>
    <row r="1168" spans="1:15" x14ac:dyDescent="0.3">
      <c r="A1168" s="8" t="s">
        <v>1244</v>
      </c>
      <c r="B1168" s="4" t="s">
        <v>1156</v>
      </c>
      <c r="C1168" s="4" t="s">
        <v>1164</v>
      </c>
      <c r="D1168" s="4">
        <v>3</v>
      </c>
      <c r="E1168" s="4">
        <v>1099</v>
      </c>
      <c r="F1168" s="4">
        <v>5677443</v>
      </c>
      <c r="G1168" s="4">
        <v>4</v>
      </c>
      <c r="H1168" s="4">
        <v>0</v>
      </c>
      <c r="I1168" s="4" t="s">
        <v>18</v>
      </c>
      <c r="J1168" s="4" t="s">
        <v>23</v>
      </c>
      <c r="K1168" s="4" t="s">
        <v>36</v>
      </c>
      <c r="L1168" s="9">
        <v>45897</v>
      </c>
      <c r="M1168" s="9" t="str">
        <f>TEXT(Source_data[[#This Row],[Listing_Date]],"mmm-yy")</f>
        <v>Aug-25</v>
      </c>
      <c r="N1168" s="4">
        <f t="shared" si="18"/>
        <v>5166.008189262966</v>
      </c>
      <c r="O1168" s="3" cm="1">
        <f t="array" ref="O1168">_xlfn.IFS(AND(K1168="Broker",J1168="Resale"),F1168*0.5,AND(K1168="Owner",J1168="Resale"),F1168*0,AND(K1168="Builder",J1168="Resale"),F1168*0.3,AND(J1168="New",K1168="Broker"),F1168*0.1,AND(J1168="New",K1168="Owner"),F1168*0,AND(J1168="New",K1168="Builder"),F1168*0.5)</f>
        <v>0</v>
      </c>
    </row>
    <row r="1169" spans="1:15" x14ac:dyDescent="0.3">
      <c r="A1169" s="8" t="s">
        <v>1245</v>
      </c>
      <c r="B1169" s="4" t="s">
        <v>1156</v>
      </c>
      <c r="C1169" s="4" t="s">
        <v>1162</v>
      </c>
      <c r="D1169" s="4">
        <v>2</v>
      </c>
      <c r="E1169" s="4">
        <v>971</v>
      </c>
      <c r="F1169" s="4">
        <v>5414369</v>
      </c>
      <c r="G1169" s="4">
        <v>2</v>
      </c>
      <c r="H1169" s="4">
        <v>0</v>
      </c>
      <c r="I1169" s="4" t="s">
        <v>8</v>
      </c>
      <c r="J1169" s="4" t="s">
        <v>19</v>
      </c>
      <c r="K1169" s="4" t="s">
        <v>36</v>
      </c>
      <c r="L1169" s="9">
        <v>45036</v>
      </c>
      <c r="M1169" s="9" t="str">
        <f>TEXT(Source_data[[#This Row],[Listing_Date]],"mmm-yy")</f>
        <v>Apr-23</v>
      </c>
      <c r="N1169" s="4">
        <f t="shared" si="18"/>
        <v>5576.0751802265704</v>
      </c>
      <c r="O1169" s="3" cm="1">
        <f t="array" ref="O1169">_xlfn.IFS(AND(K1169="Broker",J1169="Resale"),F1169*0.5,AND(K1169="Owner",J1169="Resale"),F1169*0,AND(K1169="Builder",J1169="Resale"),F1169*0.3,AND(J1169="New",K1169="Broker"),F1169*0.1,AND(J1169="New",K1169="Owner"),F1169*0,AND(J1169="New",K1169="Builder"),F1169*0.5)</f>
        <v>0</v>
      </c>
    </row>
    <row r="1170" spans="1:15" x14ac:dyDescent="0.3">
      <c r="A1170" s="8" t="s">
        <v>1246</v>
      </c>
      <c r="B1170" s="4" t="s">
        <v>1156</v>
      </c>
      <c r="C1170" s="4" t="s">
        <v>1162</v>
      </c>
      <c r="D1170" s="4">
        <v>5</v>
      </c>
      <c r="E1170" s="4">
        <v>2447</v>
      </c>
      <c r="F1170" s="4">
        <v>12814852</v>
      </c>
      <c r="G1170" s="4">
        <v>4</v>
      </c>
      <c r="H1170" s="4">
        <v>2</v>
      </c>
      <c r="I1170" s="4" t="s">
        <v>8</v>
      </c>
      <c r="J1170" s="4" t="s">
        <v>19</v>
      </c>
      <c r="K1170" s="4" t="s">
        <v>36</v>
      </c>
      <c r="L1170" s="9">
        <v>45645</v>
      </c>
      <c r="M1170" s="9" t="str">
        <f>TEXT(Source_data[[#This Row],[Listing_Date]],"mmm-yy")</f>
        <v>Dec-24</v>
      </c>
      <c r="N1170" s="4">
        <f t="shared" si="18"/>
        <v>5236.9644462607275</v>
      </c>
      <c r="O1170" s="3" cm="1">
        <f t="array" ref="O1170">_xlfn.IFS(AND(K1170="Broker",J1170="Resale"),F1170*0.5,AND(K1170="Owner",J1170="Resale"),F1170*0,AND(K1170="Builder",J1170="Resale"),F1170*0.3,AND(J1170="New",K1170="Broker"),F1170*0.1,AND(J1170="New",K1170="Owner"),F1170*0,AND(J1170="New",K1170="Builder"),F1170*0.5)</f>
        <v>0</v>
      </c>
    </row>
    <row r="1171" spans="1:15" x14ac:dyDescent="0.3">
      <c r="A1171" s="8" t="s">
        <v>1247</v>
      </c>
      <c r="B1171" s="4" t="s">
        <v>1156</v>
      </c>
      <c r="C1171" s="4" t="s">
        <v>1164</v>
      </c>
      <c r="D1171" s="4">
        <v>1</v>
      </c>
      <c r="E1171" s="4">
        <v>706</v>
      </c>
      <c r="F1171" s="4">
        <v>3406320</v>
      </c>
      <c r="G1171" s="4">
        <v>1</v>
      </c>
      <c r="H1171" s="4">
        <v>1</v>
      </c>
      <c r="I1171" s="4" t="s">
        <v>8</v>
      </c>
      <c r="J1171" s="4" t="s">
        <v>23</v>
      </c>
      <c r="K1171" s="4" t="s">
        <v>24</v>
      </c>
      <c r="L1171" s="9">
        <v>45121</v>
      </c>
      <c r="M1171" s="9" t="str">
        <f>TEXT(Source_data[[#This Row],[Listing_Date]],"mmm-yy")</f>
        <v>Jul-23</v>
      </c>
      <c r="N1171" s="4">
        <f t="shared" si="18"/>
        <v>4824.8158640226629</v>
      </c>
      <c r="O1171" s="3" cm="1">
        <f t="array" ref="O1171">_xlfn.IFS(AND(K1171="Broker",J1171="Resale"),F1171*0.5,AND(K1171="Owner",J1171="Resale"),F1171*0,AND(K1171="Builder",J1171="Resale"),F1171*0.3,AND(J1171="New",K1171="Broker"),F1171*0.1,AND(J1171="New",K1171="Owner"),F1171*0,AND(J1171="New",K1171="Builder"),F1171*0.5)</f>
        <v>1021896</v>
      </c>
    </row>
    <row r="1172" spans="1:15" x14ac:dyDescent="0.3">
      <c r="A1172" s="8" t="s">
        <v>1248</v>
      </c>
      <c r="B1172" s="4" t="s">
        <v>1156</v>
      </c>
      <c r="C1172" s="4" t="s">
        <v>1167</v>
      </c>
      <c r="D1172" s="4">
        <v>2</v>
      </c>
      <c r="E1172" s="4">
        <v>823</v>
      </c>
      <c r="F1172" s="4">
        <v>4665426</v>
      </c>
      <c r="G1172" s="4">
        <v>2</v>
      </c>
      <c r="H1172" s="4">
        <v>1</v>
      </c>
      <c r="I1172" s="4" t="s">
        <v>8</v>
      </c>
      <c r="J1172" s="4" t="s">
        <v>23</v>
      </c>
      <c r="K1172" s="4" t="s">
        <v>24</v>
      </c>
      <c r="L1172" s="9">
        <v>45881</v>
      </c>
      <c r="M1172" s="9" t="str">
        <f>TEXT(Source_data[[#This Row],[Listing_Date]],"mmm-yy")</f>
        <v>Aug-25</v>
      </c>
      <c r="N1172" s="4">
        <f t="shared" si="18"/>
        <v>5668.8043742405835</v>
      </c>
      <c r="O1172" s="3" cm="1">
        <f t="array" ref="O1172">_xlfn.IFS(AND(K1172="Broker",J1172="Resale"),F1172*0.5,AND(K1172="Owner",J1172="Resale"),F1172*0,AND(K1172="Builder",J1172="Resale"),F1172*0.3,AND(J1172="New",K1172="Broker"),F1172*0.1,AND(J1172="New",K1172="Owner"),F1172*0,AND(J1172="New",K1172="Builder"),F1172*0.5)</f>
        <v>1399627.8</v>
      </c>
    </row>
    <row r="1173" spans="1:15" x14ac:dyDescent="0.3">
      <c r="A1173" s="8" t="s">
        <v>1249</v>
      </c>
      <c r="B1173" s="4" t="s">
        <v>1156</v>
      </c>
      <c r="C1173" s="4" t="s">
        <v>1162</v>
      </c>
      <c r="D1173" s="4">
        <v>3</v>
      </c>
      <c r="E1173" s="4">
        <v>1378</v>
      </c>
      <c r="F1173" s="4">
        <v>7187074</v>
      </c>
      <c r="G1173" s="4">
        <v>3</v>
      </c>
      <c r="H1173" s="4">
        <v>0</v>
      </c>
      <c r="I1173" s="4" t="s">
        <v>18</v>
      </c>
      <c r="J1173" s="4" t="s">
        <v>19</v>
      </c>
      <c r="K1173" s="4" t="s">
        <v>20</v>
      </c>
      <c r="L1173" s="9">
        <v>44977</v>
      </c>
      <c r="M1173" s="9" t="str">
        <f>TEXT(Source_data[[#This Row],[Listing_Date]],"mmm-yy")</f>
        <v>Feb-23</v>
      </c>
      <c r="N1173" s="4">
        <f t="shared" si="18"/>
        <v>5215.5834542815674</v>
      </c>
      <c r="O1173" s="3" cm="1">
        <f t="array" ref="O1173">_xlfn.IFS(AND(K1173="Broker",J1173="Resale"),F1173*0.5,AND(K1173="Owner",J1173="Resale"),F1173*0,AND(K1173="Builder",J1173="Resale"),F1173*0.3,AND(J1173="New",K1173="Broker"),F1173*0.1,AND(J1173="New",K1173="Owner"),F1173*0,AND(J1173="New",K1173="Builder"),F1173*0.5)</f>
        <v>718707.4</v>
      </c>
    </row>
    <row r="1174" spans="1:15" x14ac:dyDescent="0.3">
      <c r="A1174" s="8" t="s">
        <v>1250</v>
      </c>
      <c r="B1174" s="4" t="s">
        <v>1156</v>
      </c>
      <c r="C1174" s="4" t="s">
        <v>1167</v>
      </c>
      <c r="D1174" s="4">
        <v>2</v>
      </c>
      <c r="E1174" s="4">
        <v>754</v>
      </c>
      <c r="F1174" s="4">
        <v>4001318</v>
      </c>
      <c r="G1174" s="4">
        <v>3</v>
      </c>
      <c r="H1174" s="4">
        <v>1</v>
      </c>
      <c r="I1174" s="4" t="s">
        <v>18</v>
      </c>
      <c r="J1174" s="4" t="s">
        <v>23</v>
      </c>
      <c r="K1174" s="4" t="s">
        <v>36</v>
      </c>
      <c r="L1174" s="9">
        <v>45745</v>
      </c>
      <c r="M1174" s="9" t="str">
        <f>TEXT(Source_data[[#This Row],[Listing_Date]],"mmm-yy")</f>
        <v>Mar-25</v>
      </c>
      <c r="N1174" s="4">
        <f t="shared" si="18"/>
        <v>5306.787798408488</v>
      </c>
      <c r="O1174" s="3" cm="1">
        <f t="array" ref="O1174">_xlfn.IFS(AND(K1174="Broker",J1174="Resale"),F1174*0.5,AND(K1174="Owner",J1174="Resale"),F1174*0,AND(K1174="Builder",J1174="Resale"),F1174*0.3,AND(J1174="New",K1174="Broker"),F1174*0.1,AND(J1174="New",K1174="Owner"),F1174*0,AND(J1174="New",K1174="Builder"),F1174*0.5)</f>
        <v>0</v>
      </c>
    </row>
    <row r="1175" spans="1:15" x14ac:dyDescent="0.3">
      <c r="A1175" s="8" t="s">
        <v>1251</v>
      </c>
      <c r="B1175" s="4" t="s">
        <v>1156</v>
      </c>
      <c r="C1175" s="4" t="s">
        <v>1167</v>
      </c>
      <c r="D1175" s="4">
        <v>1</v>
      </c>
      <c r="E1175" s="4">
        <v>674</v>
      </c>
      <c r="F1175" s="4">
        <v>3722651</v>
      </c>
      <c r="G1175" s="4">
        <v>1</v>
      </c>
      <c r="H1175" s="4">
        <v>1</v>
      </c>
      <c r="I1175" s="4" t="s">
        <v>18</v>
      </c>
      <c r="J1175" s="4" t="s">
        <v>19</v>
      </c>
      <c r="K1175" s="4" t="s">
        <v>36</v>
      </c>
      <c r="L1175" s="9">
        <v>45001</v>
      </c>
      <c r="M1175" s="9" t="str">
        <f>TEXT(Source_data[[#This Row],[Listing_Date]],"mmm-yy")</f>
        <v>Mar-23</v>
      </c>
      <c r="N1175" s="4">
        <f t="shared" si="18"/>
        <v>5523.2210682492578</v>
      </c>
      <c r="O1175" s="3" cm="1">
        <f t="array" ref="O1175">_xlfn.IFS(AND(K1175="Broker",J1175="Resale"),F1175*0.5,AND(K1175="Owner",J1175="Resale"),F1175*0,AND(K1175="Builder",J1175="Resale"),F1175*0.3,AND(J1175="New",K1175="Broker"),F1175*0.1,AND(J1175="New",K1175="Owner"),F1175*0,AND(J1175="New",K1175="Builder"),F1175*0.5)</f>
        <v>0</v>
      </c>
    </row>
    <row r="1176" spans="1:15" x14ac:dyDescent="0.3">
      <c r="A1176" s="8" t="s">
        <v>1252</v>
      </c>
      <c r="B1176" s="4" t="s">
        <v>1156</v>
      </c>
      <c r="C1176" s="4" t="s">
        <v>1169</v>
      </c>
      <c r="D1176" s="4">
        <v>1</v>
      </c>
      <c r="E1176" s="4">
        <v>638</v>
      </c>
      <c r="F1176" s="4">
        <v>3301938</v>
      </c>
      <c r="G1176" s="4">
        <v>1</v>
      </c>
      <c r="H1176" s="4">
        <v>3</v>
      </c>
      <c r="I1176" s="4" t="s">
        <v>18</v>
      </c>
      <c r="J1176" s="4" t="s">
        <v>19</v>
      </c>
      <c r="K1176" s="4" t="s">
        <v>36</v>
      </c>
      <c r="L1176" s="9">
        <v>45667</v>
      </c>
      <c r="M1176" s="9" t="str">
        <f>TEXT(Source_data[[#This Row],[Listing_Date]],"mmm-yy")</f>
        <v>Jan-25</v>
      </c>
      <c r="N1176" s="4">
        <f t="shared" si="18"/>
        <v>5175.4514106583074</v>
      </c>
      <c r="O1176" s="3" cm="1">
        <f t="array" ref="O1176">_xlfn.IFS(AND(K1176="Broker",J1176="Resale"),F1176*0.5,AND(K1176="Owner",J1176="Resale"),F1176*0,AND(K1176="Builder",J1176="Resale"),F1176*0.3,AND(J1176="New",K1176="Broker"),F1176*0.1,AND(J1176="New",K1176="Owner"),F1176*0,AND(J1176="New",K1176="Builder"),F1176*0.5)</f>
        <v>0</v>
      </c>
    </row>
    <row r="1177" spans="1:15" x14ac:dyDescent="0.3">
      <c r="A1177" s="8" t="s">
        <v>1253</v>
      </c>
      <c r="B1177" s="4" t="s">
        <v>1156</v>
      </c>
      <c r="C1177" s="4" t="s">
        <v>1160</v>
      </c>
      <c r="D1177" s="4">
        <v>3</v>
      </c>
      <c r="E1177" s="4">
        <v>797</v>
      </c>
      <c r="F1177" s="4">
        <v>4503199</v>
      </c>
      <c r="G1177" s="4">
        <v>4</v>
      </c>
      <c r="H1177" s="4">
        <v>2</v>
      </c>
      <c r="I1177" s="4" t="s">
        <v>27</v>
      </c>
      <c r="J1177" s="4" t="s">
        <v>23</v>
      </c>
      <c r="K1177" s="4" t="s">
        <v>36</v>
      </c>
      <c r="L1177" s="9">
        <v>45482</v>
      </c>
      <c r="M1177" s="9" t="str">
        <f>TEXT(Source_data[[#This Row],[Listing_Date]],"mmm-yy")</f>
        <v>Jul-24</v>
      </c>
      <c r="N1177" s="4">
        <f t="shared" si="18"/>
        <v>5650.1869510664992</v>
      </c>
      <c r="O1177" s="3" cm="1">
        <f t="array" ref="O1177">_xlfn.IFS(AND(K1177="Broker",J1177="Resale"),F1177*0.5,AND(K1177="Owner",J1177="Resale"),F1177*0,AND(K1177="Builder",J1177="Resale"),F1177*0.3,AND(J1177="New",K1177="Broker"),F1177*0.1,AND(J1177="New",K1177="Owner"),F1177*0,AND(J1177="New",K1177="Builder"),F1177*0.5)</f>
        <v>0</v>
      </c>
    </row>
    <row r="1178" spans="1:15" x14ac:dyDescent="0.3">
      <c r="A1178" s="8" t="s">
        <v>1254</v>
      </c>
      <c r="B1178" s="4" t="s">
        <v>1156</v>
      </c>
      <c r="C1178" s="4" t="s">
        <v>1167</v>
      </c>
      <c r="D1178" s="4">
        <v>5</v>
      </c>
      <c r="E1178" s="4">
        <v>1879</v>
      </c>
      <c r="F1178" s="4">
        <v>10055580</v>
      </c>
      <c r="G1178" s="4">
        <v>3</v>
      </c>
      <c r="H1178" s="4">
        <v>1</v>
      </c>
      <c r="I1178" s="4" t="s">
        <v>8</v>
      </c>
      <c r="J1178" s="4" t="s">
        <v>23</v>
      </c>
      <c r="K1178" s="4" t="s">
        <v>36</v>
      </c>
      <c r="L1178" s="9">
        <v>45131</v>
      </c>
      <c r="M1178" s="9" t="str">
        <f>TEXT(Source_data[[#This Row],[Listing_Date]],"mmm-yy")</f>
        <v>Jul-23</v>
      </c>
      <c r="N1178" s="4">
        <f t="shared" si="18"/>
        <v>5351.5593400745074</v>
      </c>
      <c r="O1178" s="3" cm="1">
        <f t="array" ref="O1178">_xlfn.IFS(AND(K1178="Broker",J1178="Resale"),F1178*0.5,AND(K1178="Owner",J1178="Resale"),F1178*0,AND(K1178="Builder",J1178="Resale"),F1178*0.3,AND(J1178="New",K1178="Broker"),F1178*0.1,AND(J1178="New",K1178="Owner"),F1178*0,AND(J1178="New",K1178="Builder"),F1178*0.5)</f>
        <v>0</v>
      </c>
    </row>
    <row r="1179" spans="1:15" x14ac:dyDescent="0.3">
      <c r="A1179" s="8" t="s">
        <v>1255</v>
      </c>
      <c r="B1179" s="4" t="s">
        <v>1156</v>
      </c>
      <c r="C1179" s="4" t="s">
        <v>1169</v>
      </c>
      <c r="D1179" s="4">
        <v>3</v>
      </c>
      <c r="E1179" s="4">
        <v>799</v>
      </c>
      <c r="F1179" s="4">
        <v>4742008</v>
      </c>
      <c r="G1179" s="4">
        <v>3</v>
      </c>
      <c r="H1179" s="4">
        <v>2</v>
      </c>
      <c r="I1179" s="4" t="s">
        <v>18</v>
      </c>
      <c r="J1179" s="4" t="s">
        <v>19</v>
      </c>
      <c r="K1179" s="4" t="s">
        <v>24</v>
      </c>
      <c r="L1179" s="9">
        <v>45054</v>
      </c>
      <c r="M1179" s="9" t="str">
        <f>TEXT(Source_data[[#This Row],[Listing_Date]],"mmm-yy")</f>
        <v>May-23</v>
      </c>
      <c r="N1179" s="4">
        <f t="shared" si="18"/>
        <v>5934.9286608260327</v>
      </c>
      <c r="O1179" s="3" cm="1">
        <f t="array" ref="O1179">_xlfn.IFS(AND(K1179="Broker",J1179="Resale"),F1179*0.5,AND(K1179="Owner",J1179="Resale"),F1179*0,AND(K1179="Builder",J1179="Resale"),F1179*0.3,AND(J1179="New",K1179="Broker"),F1179*0.1,AND(J1179="New",K1179="Owner"),F1179*0,AND(J1179="New",K1179="Builder"),F1179*0.5)</f>
        <v>2371004</v>
      </c>
    </row>
    <row r="1180" spans="1:15" x14ac:dyDescent="0.3">
      <c r="A1180" s="8" t="s">
        <v>1256</v>
      </c>
      <c r="B1180" s="4" t="s">
        <v>1156</v>
      </c>
      <c r="C1180" s="4" t="s">
        <v>1169</v>
      </c>
      <c r="D1180" s="4">
        <v>3</v>
      </c>
      <c r="E1180" s="4">
        <v>1448</v>
      </c>
      <c r="F1180" s="4">
        <v>6729900</v>
      </c>
      <c r="G1180" s="4">
        <v>3</v>
      </c>
      <c r="H1180" s="4">
        <v>1</v>
      </c>
      <c r="I1180" s="4" t="s">
        <v>8</v>
      </c>
      <c r="J1180" s="4" t="s">
        <v>23</v>
      </c>
      <c r="K1180" s="4" t="s">
        <v>36</v>
      </c>
      <c r="L1180" s="9">
        <v>45539</v>
      </c>
      <c r="M1180" s="9" t="str">
        <f>TEXT(Source_data[[#This Row],[Listing_Date]],"mmm-yy")</f>
        <v>Sep-24</v>
      </c>
      <c r="N1180" s="4">
        <f t="shared" si="18"/>
        <v>4647.7209944751385</v>
      </c>
      <c r="O1180" s="3" cm="1">
        <f t="array" ref="O1180">_xlfn.IFS(AND(K1180="Broker",J1180="Resale"),F1180*0.5,AND(K1180="Owner",J1180="Resale"),F1180*0,AND(K1180="Builder",J1180="Resale"),F1180*0.3,AND(J1180="New",K1180="Broker"),F1180*0.1,AND(J1180="New",K1180="Owner"),F1180*0,AND(J1180="New",K1180="Builder"),F1180*0.5)</f>
        <v>0</v>
      </c>
    </row>
    <row r="1181" spans="1:15" x14ac:dyDescent="0.3">
      <c r="A1181" s="8" t="s">
        <v>1257</v>
      </c>
      <c r="B1181" s="4" t="s">
        <v>1156</v>
      </c>
      <c r="C1181" s="4" t="s">
        <v>1169</v>
      </c>
      <c r="D1181" s="4">
        <v>4</v>
      </c>
      <c r="E1181" s="4">
        <v>1627</v>
      </c>
      <c r="F1181" s="4">
        <v>8113075</v>
      </c>
      <c r="G1181" s="4">
        <v>3</v>
      </c>
      <c r="H1181" s="4">
        <v>1</v>
      </c>
      <c r="I1181" s="4" t="s">
        <v>27</v>
      </c>
      <c r="J1181" s="4" t="s">
        <v>23</v>
      </c>
      <c r="K1181" s="4" t="s">
        <v>36</v>
      </c>
      <c r="L1181" s="9">
        <v>45394</v>
      </c>
      <c r="M1181" s="9" t="str">
        <f>TEXT(Source_data[[#This Row],[Listing_Date]],"mmm-yy")</f>
        <v>Apr-24</v>
      </c>
      <c r="N1181" s="4">
        <f t="shared" si="18"/>
        <v>4986.5242778119236</v>
      </c>
      <c r="O1181" s="3" cm="1">
        <f t="array" ref="O1181">_xlfn.IFS(AND(K1181="Broker",J1181="Resale"),F1181*0.5,AND(K1181="Owner",J1181="Resale"),F1181*0,AND(K1181="Builder",J1181="Resale"),F1181*0.3,AND(J1181="New",K1181="Broker"),F1181*0.1,AND(J1181="New",K1181="Owner"),F1181*0,AND(J1181="New",K1181="Builder"),F1181*0.5)</f>
        <v>0</v>
      </c>
    </row>
    <row r="1182" spans="1:15" x14ac:dyDescent="0.3">
      <c r="A1182" s="8" t="s">
        <v>1258</v>
      </c>
      <c r="B1182" s="4" t="s">
        <v>1156</v>
      </c>
      <c r="C1182" s="4" t="s">
        <v>1169</v>
      </c>
      <c r="D1182" s="4">
        <v>2</v>
      </c>
      <c r="E1182" s="4">
        <v>786</v>
      </c>
      <c r="F1182" s="4">
        <v>3948748</v>
      </c>
      <c r="G1182" s="4">
        <v>2</v>
      </c>
      <c r="H1182" s="4">
        <v>3</v>
      </c>
      <c r="I1182" s="4" t="s">
        <v>27</v>
      </c>
      <c r="J1182" s="4" t="s">
        <v>19</v>
      </c>
      <c r="K1182" s="4" t="s">
        <v>20</v>
      </c>
      <c r="L1182" s="9">
        <v>45118</v>
      </c>
      <c r="M1182" s="9" t="str">
        <f>TEXT(Source_data[[#This Row],[Listing_Date]],"mmm-yy")</f>
        <v>Jul-23</v>
      </c>
      <c r="N1182" s="4">
        <f t="shared" si="18"/>
        <v>5023.852417302799</v>
      </c>
      <c r="O1182" s="3" cm="1">
        <f t="array" ref="O1182">_xlfn.IFS(AND(K1182="Broker",J1182="Resale"),F1182*0.5,AND(K1182="Owner",J1182="Resale"),F1182*0,AND(K1182="Builder",J1182="Resale"),F1182*0.3,AND(J1182="New",K1182="Broker"),F1182*0.1,AND(J1182="New",K1182="Owner"),F1182*0,AND(J1182="New",K1182="Builder"),F1182*0.5)</f>
        <v>394874.80000000005</v>
      </c>
    </row>
    <row r="1183" spans="1:15" x14ac:dyDescent="0.3">
      <c r="A1183" s="8" t="s">
        <v>1259</v>
      </c>
      <c r="B1183" s="4" t="s">
        <v>1156</v>
      </c>
      <c r="C1183" s="4" t="s">
        <v>1164</v>
      </c>
      <c r="D1183" s="4">
        <v>2</v>
      </c>
      <c r="E1183" s="4">
        <v>521</v>
      </c>
      <c r="F1183" s="4">
        <v>3127824</v>
      </c>
      <c r="G1183" s="4">
        <v>1</v>
      </c>
      <c r="H1183" s="4">
        <v>0</v>
      </c>
      <c r="I1183" s="4" t="s">
        <v>18</v>
      </c>
      <c r="J1183" s="4" t="s">
        <v>19</v>
      </c>
      <c r="K1183" s="4" t="s">
        <v>24</v>
      </c>
      <c r="L1183" s="9">
        <v>45224</v>
      </c>
      <c r="M1183" s="9" t="str">
        <f>TEXT(Source_data[[#This Row],[Listing_Date]],"mmm-yy")</f>
        <v>Oct-23</v>
      </c>
      <c r="N1183" s="4">
        <f t="shared" si="18"/>
        <v>6003.5009596928985</v>
      </c>
      <c r="O1183" s="3" cm="1">
        <f t="array" ref="O1183">_xlfn.IFS(AND(K1183="Broker",J1183="Resale"),F1183*0.5,AND(K1183="Owner",J1183="Resale"),F1183*0,AND(K1183="Builder",J1183="Resale"),F1183*0.3,AND(J1183="New",K1183="Broker"),F1183*0.1,AND(J1183="New",K1183="Owner"),F1183*0,AND(J1183="New",K1183="Builder"),F1183*0.5)</f>
        <v>1563912</v>
      </c>
    </row>
    <row r="1184" spans="1:15" x14ac:dyDescent="0.3">
      <c r="A1184" s="8" t="s">
        <v>1260</v>
      </c>
      <c r="B1184" s="4" t="s">
        <v>1156</v>
      </c>
      <c r="C1184" s="4" t="s">
        <v>1169</v>
      </c>
      <c r="D1184" s="4">
        <v>3</v>
      </c>
      <c r="E1184" s="4">
        <v>981</v>
      </c>
      <c r="F1184" s="4">
        <v>5714710</v>
      </c>
      <c r="G1184" s="4">
        <v>2</v>
      </c>
      <c r="H1184" s="4">
        <v>2</v>
      </c>
      <c r="I1184" s="4" t="s">
        <v>27</v>
      </c>
      <c r="J1184" s="4" t="s">
        <v>23</v>
      </c>
      <c r="K1184" s="4" t="s">
        <v>24</v>
      </c>
      <c r="L1184" s="9">
        <v>45177</v>
      </c>
      <c r="M1184" s="9" t="str">
        <f>TEXT(Source_data[[#This Row],[Listing_Date]],"mmm-yy")</f>
        <v>Sep-23</v>
      </c>
      <c r="N1184" s="4">
        <f t="shared" si="18"/>
        <v>5825.3924566768601</v>
      </c>
      <c r="O1184" s="3" cm="1">
        <f t="array" ref="O1184">_xlfn.IFS(AND(K1184="Broker",J1184="Resale"),F1184*0.5,AND(K1184="Owner",J1184="Resale"),F1184*0,AND(K1184="Builder",J1184="Resale"),F1184*0.3,AND(J1184="New",K1184="Broker"),F1184*0.1,AND(J1184="New",K1184="Owner"),F1184*0,AND(J1184="New",K1184="Builder"),F1184*0.5)</f>
        <v>1714413</v>
      </c>
    </row>
    <row r="1185" spans="1:15" x14ac:dyDescent="0.3">
      <c r="A1185" s="8" t="s">
        <v>1261</v>
      </c>
      <c r="B1185" s="4" t="s">
        <v>1156</v>
      </c>
      <c r="C1185" s="4" t="s">
        <v>1164</v>
      </c>
      <c r="D1185" s="4">
        <v>2</v>
      </c>
      <c r="E1185" s="4">
        <v>803</v>
      </c>
      <c r="F1185" s="4">
        <v>3553884</v>
      </c>
      <c r="G1185" s="4">
        <v>1</v>
      </c>
      <c r="H1185" s="4">
        <v>1</v>
      </c>
      <c r="I1185" s="4" t="s">
        <v>8</v>
      </c>
      <c r="J1185" s="4" t="s">
        <v>19</v>
      </c>
      <c r="K1185" s="4" t="s">
        <v>36</v>
      </c>
      <c r="L1185" s="9">
        <v>45838</v>
      </c>
      <c r="M1185" s="9" t="str">
        <f>TEXT(Source_data[[#This Row],[Listing_Date]],"mmm-yy")</f>
        <v>Jun-25</v>
      </c>
      <c r="N1185" s="4">
        <f t="shared" si="18"/>
        <v>4425.7584059775836</v>
      </c>
      <c r="O1185" s="3" cm="1">
        <f t="array" ref="O1185">_xlfn.IFS(AND(K1185="Broker",J1185="Resale"),F1185*0.5,AND(K1185="Owner",J1185="Resale"),F1185*0,AND(K1185="Builder",J1185="Resale"),F1185*0.3,AND(J1185="New",K1185="Broker"),F1185*0.1,AND(J1185="New",K1185="Owner"),F1185*0,AND(J1185="New",K1185="Builder"),F1185*0.5)</f>
        <v>0</v>
      </c>
    </row>
    <row r="1186" spans="1:15" x14ac:dyDescent="0.3">
      <c r="A1186" s="8" t="s">
        <v>1262</v>
      </c>
      <c r="B1186" s="4" t="s">
        <v>1156</v>
      </c>
      <c r="C1186" s="4" t="s">
        <v>1164</v>
      </c>
      <c r="D1186" s="4">
        <v>4</v>
      </c>
      <c r="E1186" s="4">
        <v>1995</v>
      </c>
      <c r="F1186" s="4">
        <v>7042051</v>
      </c>
      <c r="G1186" s="4">
        <v>3</v>
      </c>
      <c r="H1186" s="4">
        <v>0</v>
      </c>
      <c r="I1186" s="4" t="s">
        <v>8</v>
      </c>
      <c r="J1186" s="4" t="s">
        <v>19</v>
      </c>
      <c r="K1186" s="4" t="s">
        <v>20</v>
      </c>
      <c r="L1186" s="9">
        <v>45040</v>
      </c>
      <c r="M1186" s="9" t="str">
        <f>TEXT(Source_data[[#This Row],[Listing_Date]],"mmm-yy")</f>
        <v>Apr-23</v>
      </c>
      <c r="N1186" s="4">
        <f t="shared" si="18"/>
        <v>3529.8501253132831</v>
      </c>
      <c r="O1186" s="3" cm="1">
        <f t="array" ref="O1186">_xlfn.IFS(AND(K1186="Broker",J1186="Resale"),F1186*0.5,AND(K1186="Owner",J1186="Resale"),F1186*0,AND(K1186="Builder",J1186="Resale"),F1186*0.3,AND(J1186="New",K1186="Broker"),F1186*0.1,AND(J1186="New",K1186="Owner"),F1186*0,AND(J1186="New",K1186="Builder"),F1186*0.5)</f>
        <v>704205.10000000009</v>
      </c>
    </row>
    <row r="1187" spans="1:15" x14ac:dyDescent="0.3">
      <c r="A1187" s="8" t="s">
        <v>1263</v>
      </c>
      <c r="B1187" s="4" t="s">
        <v>1156</v>
      </c>
      <c r="C1187" s="4" t="s">
        <v>1157</v>
      </c>
      <c r="D1187" s="4">
        <v>2</v>
      </c>
      <c r="E1187" s="4">
        <v>1101</v>
      </c>
      <c r="F1187" s="4">
        <v>7037662</v>
      </c>
      <c r="G1187" s="4">
        <v>2</v>
      </c>
      <c r="H1187" s="4">
        <v>2</v>
      </c>
      <c r="I1187" s="4" t="s">
        <v>8</v>
      </c>
      <c r="J1187" s="4" t="s">
        <v>19</v>
      </c>
      <c r="K1187" s="4" t="s">
        <v>36</v>
      </c>
      <c r="L1187" s="9">
        <v>45235</v>
      </c>
      <c r="M1187" s="9" t="str">
        <f>TEXT(Source_data[[#This Row],[Listing_Date]],"mmm-yy")</f>
        <v>Nov-23</v>
      </c>
      <c r="N1187" s="4">
        <f t="shared" si="18"/>
        <v>6392.0635785649411</v>
      </c>
      <c r="O1187" s="3" cm="1">
        <f t="array" ref="O1187">_xlfn.IFS(AND(K1187="Broker",J1187="Resale"),F1187*0.5,AND(K1187="Owner",J1187="Resale"),F1187*0,AND(K1187="Builder",J1187="Resale"),F1187*0.3,AND(J1187="New",K1187="Broker"),F1187*0.1,AND(J1187="New",K1187="Owner"),F1187*0,AND(J1187="New",K1187="Builder"),F1187*0.5)</f>
        <v>0</v>
      </c>
    </row>
    <row r="1188" spans="1:15" x14ac:dyDescent="0.3">
      <c r="A1188" s="8" t="s">
        <v>1264</v>
      </c>
      <c r="B1188" s="4" t="s">
        <v>1156</v>
      </c>
      <c r="C1188" s="4" t="s">
        <v>1169</v>
      </c>
      <c r="D1188" s="4">
        <v>4</v>
      </c>
      <c r="E1188" s="4">
        <v>2126</v>
      </c>
      <c r="F1188" s="4">
        <v>9606554</v>
      </c>
      <c r="G1188" s="4">
        <v>3</v>
      </c>
      <c r="H1188" s="4">
        <v>1</v>
      </c>
      <c r="I1188" s="4" t="s">
        <v>27</v>
      </c>
      <c r="J1188" s="4" t="s">
        <v>19</v>
      </c>
      <c r="K1188" s="4" t="s">
        <v>20</v>
      </c>
      <c r="L1188" s="9">
        <v>45132</v>
      </c>
      <c r="M1188" s="9" t="str">
        <f>TEXT(Source_data[[#This Row],[Listing_Date]],"mmm-yy")</f>
        <v>Jul-23</v>
      </c>
      <c r="N1188" s="4">
        <f t="shared" si="18"/>
        <v>4518.6048918156166</v>
      </c>
      <c r="O1188" s="3" cm="1">
        <f t="array" ref="O1188">_xlfn.IFS(AND(K1188="Broker",J1188="Resale"),F1188*0.5,AND(K1188="Owner",J1188="Resale"),F1188*0,AND(K1188="Builder",J1188="Resale"),F1188*0.3,AND(J1188="New",K1188="Broker"),F1188*0.1,AND(J1188="New",K1188="Owner"),F1188*0,AND(J1188="New",K1188="Builder"),F1188*0.5)</f>
        <v>960655.4</v>
      </c>
    </row>
    <row r="1189" spans="1:15" x14ac:dyDescent="0.3">
      <c r="A1189" s="8" t="s">
        <v>1265</v>
      </c>
      <c r="B1189" s="4" t="s">
        <v>1156</v>
      </c>
      <c r="C1189" s="4" t="s">
        <v>1157</v>
      </c>
      <c r="D1189" s="4">
        <v>1</v>
      </c>
      <c r="E1189" s="4">
        <v>694</v>
      </c>
      <c r="F1189" s="4">
        <v>3951829</v>
      </c>
      <c r="G1189" s="4">
        <v>1</v>
      </c>
      <c r="H1189" s="4">
        <v>2</v>
      </c>
      <c r="I1189" s="4" t="s">
        <v>8</v>
      </c>
      <c r="J1189" s="4" t="s">
        <v>23</v>
      </c>
      <c r="K1189" s="4" t="s">
        <v>24</v>
      </c>
      <c r="L1189" s="9">
        <v>45523</v>
      </c>
      <c r="M1189" s="9" t="str">
        <f>TEXT(Source_data[[#This Row],[Listing_Date]],"mmm-yy")</f>
        <v>Aug-24</v>
      </c>
      <c r="N1189" s="4">
        <f t="shared" si="18"/>
        <v>5694.2780979827094</v>
      </c>
      <c r="O1189" s="3" cm="1">
        <f t="array" ref="O1189">_xlfn.IFS(AND(K1189="Broker",J1189="Resale"),F1189*0.5,AND(K1189="Owner",J1189="Resale"),F1189*0,AND(K1189="Builder",J1189="Resale"),F1189*0.3,AND(J1189="New",K1189="Broker"),F1189*0.1,AND(J1189="New",K1189="Owner"),F1189*0,AND(J1189="New",K1189="Builder"),F1189*0.5)</f>
        <v>1185548.7</v>
      </c>
    </row>
    <row r="1190" spans="1:15" x14ac:dyDescent="0.3">
      <c r="A1190" s="8" t="s">
        <v>1266</v>
      </c>
      <c r="B1190" s="4" t="s">
        <v>1156</v>
      </c>
      <c r="C1190" s="4" t="s">
        <v>1162</v>
      </c>
      <c r="D1190" s="4">
        <v>3</v>
      </c>
      <c r="E1190" s="4">
        <v>1609</v>
      </c>
      <c r="F1190" s="4">
        <v>7641731</v>
      </c>
      <c r="G1190" s="4">
        <v>3</v>
      </c>
      <c r="H1190" s="4">
        <v>2</v>
      </c>
      <c r="I1190" s="4" t="s">
        <v>18</v>
      </c>
      <c r="J1190" s="4" t="s">
        <v>23</v>
      </c>
      <c r="K1190" s="4" t="s">
        <v>36</v>
      </c>
      <c r="L1190" s="9">
        <v>45894</v>
      </c>
      <c r="M1190" s="9" t="str">
        <f>TEXT(Source_data[[#This Row],[Listing_Date]],"mmm-yy")</f>
        <v>Aug-25</v>
      </c>
      <c r="N1190" s="4">
        <f t="shared" si="18"/>
        <v>4749.3666873834682</v>
      </c>
      <c r="O1190" s="3" cm="1">
        <f t="array" ref="O1190">_xlfn.IFS(AND(K1190="Broker",J1190="Resale"),F1190*0.5,AND(K1190="Owner",J1190="Resale"),F1190*0,AND(K1190="Builder",J1190="Resale"),F1190*0.3,AND(J1190="New",K1190="Broker"),F1190*0.1,AND(J1190="New",K1190="Owner"),F1190*0,AND(J1190="New",K1190="Builder"),F1190*0.5)</f>
        <v>0</v>
      </c>
    </row>
    <row r="1191" spans="1:15" x14ac:dyDescent="0.3">
      <c r="A1191" s="8" t="s">
        <v>1267</v>
      </c>
      <c r="B1191" s="4" t="s">
        <v>1156</v>
      </c>
      <c r="C1191" s="4" t="s">
        <v>1162</v>
      </c>
      <c r="D1191" s="4">
        <v>4</v>
      </c>
      <c r="E1191" s="4">
        <v>1301</v>
      </c>
      <c r="F1191" s="4">
        <v>3994685</v>
      </c>
      <c r="G1191" s="4">
        <v>4</v>
      </c>
      <c r="H1191" s="4">
        <v>3</v>
      </c>
      <c r="I1191" s="4" t="s">
        <v>8</v>
      </c>
      <c r="J1191" s="4" t="s">
        <v>23</v>
      </c>
      <c r="K1191" s="4" t="s">
        <v>36</v>
      </c>
      <c r="L1191" s="9">
        <v>45487</v>
      </c>
      <c r="M1191" s="9" t="str">
        <f>TEXT(Source_data[[#This Row],[Listing_Date]],"mmm-yy")</f>
        <v>Jul-24</v>
      </c>
      <c r="N1191" s="4">
        <f t="shared" si="18"/>
        <v>3070.4727132974635</v>
      </c>
      <c r="O1191" s="3" cm="1">
        <f t="array" ref="O1191">_xlfn.IFS(AND(K1191="Broker",J1191="Resale"),F1191*0.5,AND(K1191="Owner",J1191="Resale"),F1191*0,AND(K1191="Builder",J1191="Resale"),F1191*0.3,AND(J1191="New",K1191="Broker"),F1191*0.1,AND(J1191="New",K1191="Owner"),F1191*0,AND(J1191="New",K1191="Builder"),F1191*0.5)</f>
        <v>0</v>
      </c>
    </row>
    <row r="1192" spans="1:15" x14ac:dyDescent="0.3">
      <c r="A1192" s="8" t="s">
        <v>1268</v>
      </c>
      <c r="B1192" s="4" t="s">
        <v>1156</v>
      </c>
      <c r="C1192" s="4" t="s">
        <v>1157</v>
      </c>
      <c r="D1192" s="4">
        <v>4</v>
      </c>
      <c r="E1192" s="4">
        <v>1922</v>
      </c>
      <c r="F1192" s="4">
        <v>12091355</v>
      </c>
      <c r="G1192" s="4">
        <v>3</v>
      </c>
      <c r="H1192" s="4">
        <v>3</v>
      </c>
      <c r="I1192" s="4" t="s">
        <v>18</v>
      </c>
      <c r="J1192" s="4" t="s">
        <v>19</v>
      </c>
      <c r="K1192" s="4" t="s">
        <v>24</v>
      </c>
      <c r="L1192" s="9">
        <v>45398</v>
      </c>
      <c r="M1192" s="9" t="str">
        <f>TEXT(Source_data[[#This Row],[Listing_Date]],"mmm-yy")</f>
        <v>Apr-24</v>
      </c>
      <c r="N1192" s="4">
        <f t="shared" si="18"/>
        <v>6291.0275754422473</v>
      </c>
      <c r="O1192" s="3" cm="1">
        <f t="array" ref="O1192">_xlfn.IFS(AND(K1192="Broker",J1192="Resale"),F1192*0.5,AND(K1192="Owner",J1192="Resale"),F1192*0,AND(K1192="Builder",J1192="Resale"),F1192*0.3,AND(J1192="New",K1192="Broker"),F1192*0.1,AND(J1192="New",K1192="Owner"),F1192*0,AND(J1192="New",K1192="Builder"),F1192*0.5)</f>
        <v>6045677.5</v>
      </c>
    </row>
    <row r="1193" spans="1:15" x14ac:dyDescent="0.3">
      <c r="A1193" s="8" t="s">
        <v>1269</v>
      </c>
      <c r="B1193" s="4" t="s">
        <v>1156</v>
      </c>
      <c r="C1193" s="4" t="s">
        <v>1162</v>
      </c>
      <c r="D1193" s="4">
        <v>3</v>
      </c>
      <c r="E1193" s="4">
        <v>1092</v>
      </c>
      <c r="F1193" s="4">
        <v>15379323</v>
      </c>
      <c r="G1193" s="4">
        <v>3</v>
      </c>
      <c r="H1193" s="4">
        <v>3</v>
      </c>
      <c r="I1193" s="4" t="s">
        <v>27</v>
      </c>
      <c r="J1193" s="4" t="s">
        <v>23</v>
      </c>
      <c r="K1193" s="4" t="s">
        <v>36</v>
      </c>
      <c r="L1193" s="9">
        <v>45639</v>
      </c>
      <c r="M1193" s="9" t="str">
        <f>TEXT(Source_data[[#This Row],[Listing_Date]],"mmm-yy")</f>
        <v>Dec-24</v>
      </c>
      <c r="N1193" s="4">
        <f t="shared" si="18"/>
        <v>14083.629120879121</v>
      </c>
      <c r="O1193" s="3" cm="1">
        <f t="array" ref="O1193">_xlfn.IFS(AND(K1193="Broker",J1193="Resale"),F1193*0.5,AND(K1193="Owner",J1193="Resale"),F1193*0,AND(K1193="Builder",J1193="Resale"),F1193*0.3,AND(J1193="New",K1193="Broker"),F1193*0.1,AND(J1193="New",K1193="Owner"),F1193*0,AND(J1193="New",K1193="Builder"),F1193*0.5)</f>
        <v>0</v>
      </c>
    </row>
    <row r="1194" spans="1:15" x14ac:dyDescent="0.3">
      <c r="A1194" s="8" t="s">
        <v>1270</v>
      </c>
      <c r="B1194" s="4" t="s">
        <v>1156</v>
      </c>
      <c r="C1194" s="4" t="s">
        <v>1169</v>
      </c>
      <c r="D1194" s="4">
        <v>3</v>
      </c>
      <c r="E1194" s="4">
        <v>1116</v>
      </c>
      <c r="F1194" s="4">
        <v>5869843</v>
      </c>
      <c r="G1194" s="4">
        <v>3</v>
      </c>
      <c r="H1194" s="4">
        <v>2</v>
      </c>
      <c r="I1194" s="4" t="s">
        <v>27</v>
      </c>
      <c r="J1194" s="4" t="s">
        <v>19</v>
      </c>
      <c r="K1194" s="4" t="s">
        <v>24</v>
      </c>
      <c r="L1194" s="9">
        <v>45164</v>
      </c>
      <c r="M1194" s="9" t="str">
        <f>TEXT(Source_data[[#This Row],[Listing_Date]],"mmm-yy")</f>
        <v>Aug-23</v>
      </c>
      <c r="N1194" s="4">
        <f t="shared" si="18"/>
        <v>5259.7159498207884</v>
      </c>
      <c r="O1194" s="3" cm="1">
        <f t="array" ref="O1194">_xlfn.IFS(AND(K1194="Broker",J1194="Resale"),F1194*0.5,AND(K1194="Owner",J1194="Resale"),F1194*0,AND(K1194="Builder",J1194="Resale"),F1194*0.3,AND(J1194="New",K1194="Broker"),F1194*0.1,AND(J1194="New",K1194="Owner"),F1194*0,AND(J1194="New",K1194="Builder"),F1194*0.5)</f>
        <v>2934921.5</v>
      </c>
    </row>
    <row r="1195" spans="1:15" x14ac:dyDescent="0.3">
      <c r="A1195" s="8" t="s">
        <v>1271</v>
      </c>
      <c r="B1195" s="4" t="s">
        <v>1156</v>
      </c>
      <c r="C1195" s="4" t="s">
        <v>1164</v>
      </c>
      <c r="D1195" s="4">
        <v>2</v>
      </c>
      <c r="E1195" s="4">
        <v>907</v>
      </c>
      <c r="F1195" s="4">
        <v>4637731</v>
      </c>
      <c r="G1195" s="4">
        <v>2</v>
      </c>
      <c r="H1195" s="4">
        <v>0</v>
      </c>
      <c r="I1195" s="4" t="s">
        <v>18</v>
      </c>
      <c r="J1195" s="4" t="s">
        <v>23</v>
      </c>
      <c r="K1195" s="4" t="s">
        <v>36</v>
      </c>
      <c r="L1195" s="9">
        <v>45488</v>
      </c>
      <c r="M1195" s="9" t="str">
        <f>TEXT(Source_data[[#This Row],[Listing_Date]],"mmm-yy")</f>
        <v>Jul-24</v>
      </c>
      <c r="N1195" s="4">
        <f t="shared" si="18"/>
        <v>5113.2646085997794</v>
      </c>
      <c r="O1195" s="3" cm="1">
        <f t="array" ref="O1195">_xlfn.IFS(AND(K1195="Broker",J1195="Resale"),F1195*0.5,AND(K1195="Owner",J1195="Resale"),F1195*0,AND(K1195="Builder",J1195="Resale"),F1195*0.3,AND(J1195="New",K1195="Broker"),F1195*0.1,AND(J1195="New",K1195="Owner"),F1195*0,AND(J1195="New",K1195="Builder"),F1195*0.5)</f>
        <v>0</v>
      </c>
    </row>
    <row r="1196" spans="1:15" x14ac:dyDescent="0.3">
      <c r="A1196" s="8" t="s">
        <v>1272</v>
      </c>
      <c r="B1196" s="4" t="s">
        <v>1156</v>
      </c>
      <c r="C1196" s="4" t="s">
        <v>1167</v>
      </c>
      <c r="D1196" s="4">
        <v>2</v>
      </c>
      <c r="E1196" s="4">
        <v>824</v>
      </c>
      <c r="F1196" s="4">
        <v>3890383</v>
      </c>
      <c r="G1196" s="4">
        <v>2</v>
      </c>
      <c r="H1196" s="4">
        <v>2</v>
      </c>
      <c r="I1196" s="4" t="s">
        <v>27</v>
      </c>
      <c r="J1196" s="4" t="s">
        <v>19</v>
      </c>
      <c r="K1196" s="4" t="s">
        <v>36</v>
      </c>
      <c r="L1196" s="9">
        <v>45759</v>
      </c>
      <c r="M1196" s="9" t="str">
        <f>TEXT(Source_data[[#This Row],[Listing_Date]],"mmm-yy")</f>
        <v>Apr-25</v>
      </c>
      <c r="N1196" s="4">
        <f t="shared" si="18"/>
        <v>4721.3385922330099</v>
      </c>
      <c r="O1196" s="3" cm="1">
        <f t="array" ref="O1196">_xlfn.IFS(AND(K1196="Broker",J1196="Resale"),F1196*0.5,AND(K1196="Owner",J1196="Resale"),F1196*0,AND(K1196="Builder",J1196="Resale"),F1196*0.3,AND(J1196="New",K1196="Broker"),F1196*0.1,AND(J1196="New",K1196="Owner"),F1196*0,AND(J1196="New",K1196="Builder"),F1196*0.5)</f>
        <v>0</v>
      </c>
    </row>
    <row r="1197" spans="1:15" x14ac:dyDescent="0.3">
      <c r="A1197" s="8" t="s">
        <v>1273</v>
      </c>
      <c r="B1197" s="4" t="s">
        <v>1156</v>
      </c>
      <c r="C1197" s="4" t="s">
        <v>1157</v>
      </c>
      <c r="D1197" s="4">
        <v>3</v>
      </c>
      <c r="E1197" s="4">
        <v>1065</v>
      </c>
      <c r="F1197" s="4">
        <v>7383728</v>
      </c>
      <c r="G1197" s="4">
        <v>2</v>
      </c>
      <c r="H1197" s="4">
        <v>3</v>
      </c>
      <c r="I1197" s="4" t="s">
        <v>27</v>
      </c>
      <c r="J1197" s="4" t="s">
        <v>19</v>
      </c>
      <c r="K1197" s="4" t="s">
        <v>20</v>
      </c>
      <c r="L1197" s="9">
        <v>45441</v>
      </c>
      <c r="M1197" s="9" t="str">
        <f>TEXT(Source_data[[#This Row],[Listing_Date]],"mmm-yy")</f>
        <v>May-24</v>
      </c>
      <c r="N1197" s="4">
        <f t="shared" si="18"/>
        <v>6933.0779342723008</v>
      </c>
      <c r="O1197" s="3" cm="1">
        <f t="array" ref="O1197">_xlfn.IFS(AND(K1197="Broker",J1197="Resale"),F1197*0.5,AND(K1197="Owner",J1197="Resale"),F1197*0,AND(K1197="Builder",J1197="Resale"),F1197*0.3,AND(J1197="New",K1197="Broker"),F1197*0.1,AND(J1197="New",K1197="Owner"),F1197*0,AND(J1197="New",K1197="Builder"),F1197*0.5)</f>
        <v>738372.8</v>
      </c>
    </row>
    <row r="1198" spans="1:15" x14ac:dyDescent="0.3">
      <c r="A1198" s="8" t="s">
        <v>1274</v>
      </c>
      <c r="B1198" s="4" t="s">
        <v>1156</v>
      </c>
      <c r="C1198" s="4" t="s">
        <v>1157</v>
      </c>
      <c r="D1198" s="4">
        <v>3</v>
      </c>
      <c r="E1198" s="4">
        <v>1027</v>
      </c>
      <c r="F1198" s="4">
        <v>4103064</v>
      </c>
      <c r="G1198" s="4">
        <v>4</v>
      </c>
      <c r="H1198" s="4">
        <v>0</v>
      </c>
      <c r="I1198" s="4" t="s">
        <v>8</v>
      </c>
      <c r="J1198" s="4" t="s">
        <v>19</v>
      </c>
      <c r="K1198" s="4" t="s">
        <v>36</v>
      </c>
      <c r="L1198" s="9">
        <v>45181</v>
      </c>
      <c r="M1198" s="9" t="str">
        <f>TEXT(Source_data[[#This Row],[Listing_Date]],"mmm-yy")</f>
        <v>Sep-23</v>
      </c>
      <c r="N1198" s="4">
        <f t="shared" si="18"/>
        <v>3995.1937682570592</v>
      </c>
      <c r="O1198" s="3" cm="1">
        <f t="array" ref="O1198">_xlfn.IFS(AND(K1198="Broker",J1198="Resale"),F1198*0.5,AND(K1198="Owner",J1198="Resale"),F1198*0,AND(K1198="Builder",J1198="Resale"),F1198*0.3,AND(J1198="New",K1198="Broker"),F1198*0.1,AND(J1198="New",K1198="Owner"),F1198*0,AND(J1198="New",K1198="Builder"),F1198*0.5)</f>
        <v>0</v>
      </c>
    </row>
    <row r="1199" spans="1:15" x14ac:dyDescent="0.3">
      <c r="A1199" s="8" t="s">
        <v>1275</v>
      </c>
      <c r="B1199" s="4" t="s">
        <v>1156</v>
      </c>
      <c r="C1199" s="4" t="s">
        <v>1162</v>
      </c>
      <c r="D1199" s="4">
        <v>1</v>
      </c>
      <c r="E1199" s="4">
        <v>472</v>
      </c>
      <c r="F1199" s="4">
        <v>2869622</v>
      </c>
      <c r="G1199" s="4">
        <v>1</v>
      </c>
      <c r="H1199" s="4">
        <v>1</v>
      </c>
      <c r="I1199" s="4" t="s">
        <v>8</v>
      </c>
      <c r="J1199" s="4" t="s">
        <v>19</v>
      </c>
      <c r="K1199" s="4" t="s">
        <v>36</v>
      </c>
      <c r="L1199" s="9">
        <v>45610</v>
      </c>
      <c r="M1199" s="9" t="str">
        <f>TEXT(Source_data[[#This Row],[Listing_Date]],"mmm-yy")</f>
        <v>Nov-24</v>
      </c>
      <c r="N1199" s="4">
        <f t="shared" si="18"/>
        <v>6079.7076271186443</v>
      </c>
      <c r="O1199" s="3" cm="1">
        <f t="array" ref="O1199">_xlfn.IFS(AND(K1199="Broker",J1199="Resale"),F1199*0.5,AND(K1199="Owner",J1199="Resale"),F1199*0,AND(K1199="Builder",J1199="Resale"),F1199*0.3,AND(J1199="New",K1199="Broker"),F1199*0.1,AND(J1199="New",K1199="Owner"),F1199*0,AND(J1199="New",K1199="Builder"),F1199*0.5)</f>
        <v>0</v>
      </c>
    </row>
    <row r="1200" spans="1:15" x14ac:dyDescent="0.3">
      <c r="A1200" s="8" t="s">
        <v>1276</v>
      </c>
      <c r="B1200" s="4" t="s">
        <v>1156</v>
      </c>
      <c r="C1200" s="4" t="s">
        <v>1167</v>
      </c>
      <c r="D1200" s="4">
        <v>2</v>
      </c>
      <c r="E1200" s="4">
        <v>673</v>
      </c>
      <c r="F1200" s="4">
        <v>4544947</v>
      </c>
      <c r="G1200" s="4">
        <v>3</v>
      </c>
      <c r="H1200" s="4">
        <v>2</v>
      </c>
      <c r="I1200" s="4" t="s">
        <v>8</v>
      </c>
      <c r="J1200" s="4" t="s">
        <v>23</v>
      </c>
      <c r="K1200" s="4" t="s">
        <v>36</v>
      </c>
      <c r="L1200" s="9">
        <v>45252</v>
      </c>
      <c r="M1200" s="9" t="str">
        <f>TEXT(Source_data[[#This Row],[Listing_Date]],"mmm-yy")</f>
        <v>Nov-23</v>
      </c>
      <c r="N1200" s="4">
        <f t="shared" si="18"/>
        <v>6753.2644873699855</v>
      </c>
      <c r="O1200" s="3" cm="1">
        <f t="array" ref="O1200">_xlfn.IFS(AND(K1200="Broker",J1200="Resale"),F1200*0.5,AND(K1200="Owner",J1200="Resale"),F1200*0,AND(K1200="Builder",J1200="Resale"),F1200*0.3,AND(J1200="New",K1200="Broker"),F1200*0.1,AND(J1200="New",K1200="Owner"),F1200*0,AND(J1200="New",K1200="Builder"),F1200*0.5)</f>
        <v>0</v>
      </c>
    </row>
    <row r="1201" spans="1:15" x14ac:dyDescent="0.3">
      <c r="A1201" s="8" t="s">
        <v>1277</v>
      </c>
      <c r="B1201" s="4" t="s">
        <v>1156</v>
      </c>
      <c r="C1201" s="4" t="s">
        <v>1160</v>
      </c>
      <c r="D1201" s="4">
        <v>3</v>
      </c>
      <c r="E1201" s="4">
        <v>1152</v>
      </c>
      <c r="F1201" s="4">
        <v>5398790</v>
      </c>
      <c r="G1201" s="4">
        <v>2</v>
      </c>
      <c r="H1201" s="4">
        <v>2</v>
      </c>
      <c r="I1201" s="4" t="s">
        <v>18</v>
      </c>
      <c r="J1201" s="4" t="s">
        <v>19</v>
      </c>
      <c r="K1201" s="4" t="s">
        <v>36</v>
      </c>
      <c r="L1201" s="9">
        <v>44987</v>
      </c>
      <c r="M1201" s="9" t="str">
        <f>TEXT(Source_data[[#This Row],[Listing_Date]],"mmm-yy")</f>
        <v>Mar-23</v>
      </c>
      <c r="N1201" s="4">
        <f t="shared" si="18"/>
        <v>4686.4496527777774</v>
      </c>
      <c r="O1201" s="3" cm="1">
        <f t="array" ref="O1201">_xlfn.IFS(AND(K1201="Broker",J1201="Resale"),F1201*0.5,AND(K1201="Owner",J1201="Resale"),F1201*0,AND(K1201="Builder",J1201="Resale"),F1201*0.3,AND(J1201="New",K1201="Broker"),F1201*0.1,AND(J1201="New",K1201="Owner"),F1201*0,AND(J1201="New",K1201="Builder"),F1201*0.5)</f>
        <v>0</v>
      </c>
    </row>
    <row r="1202" spans="1:15" x14ac:dyDescent="0.3">
      <c r="A1202" s="8" t="s">
        <v>1278</v>
      </c>
      <c r="B1202" s="4" t="s">
        <v>1156</v>
      </c>
      <c r="C1202" s="4" t="s">
        <v>1160</v>
      </c>
      <c r="D1202" s="4">
        <v>2</v>
      </c>
      <c r="E1202" s="4">
        <v>1258</v>
      </c>
      <c r="F1202" s="4">
        <v>6568056</v>
      </c>
      <c r="G1202" s="4">
        <v>2</v>
      </c>
      <c r="H1202" s="4">
        <v>2</v>
      </c>
      <c r="I1202" s="4" t="s">
        <v>8</v>
      </c>
      <c r="J1202" s="4" t="s">
        <v>19</v>
      </c>
      <c r="K1202" s="4" t="s">
        <v>20</v>
      </c>
      <c r="L1202" s="9">
        <v>45752</v>
      </c>
      <c r="M1202" s="9" t="str">
        <f>TEXT(Source_data[[#This Row],[Listing_Date]],"mmm-yy")</f>
        <v>Apr-25</v>
      </c>
      <c r="N1202" s="4">
        <f t="shared" si="18"/>
        <v>5221.0302066772656</v>
      </c>
      <c r="O1202" s="3" cm="1">
        <f t="array" ref="O1202">_xlfn.IFS(AND(K1202="Broker",J1202="Resale"),F1202*0.5,AND(K1202="Owner",J1202="Resale"),F1202*0,AND(K1202="Builder",J1202="Resale"),F1202*0.3,AND(J1202="New",K1202="Broker"),F1202*0.1,AND(J1202="New",K1202="Owner"),F1202*0,AND(J1202="New",K1202="Builder"),F1202*0.5)</f>
        <v>656805.60000000009</v>
      </c>
    </row>
    <row r="1203" spans="1:15" x14ac:dyDescent="0.3">
      <c r="A1203" s="8" t="s">
        <v>1279</v>
      </c>
      <c r="B1203" s="4" t="s">
        <v>1156</v>
      </c>
      <c r="C1203" s="4" t="s">
        <v>1157</v>
      </c>
      <c r="D1203" s="4">
        <v>1</v>
      </c>
      <c r="E1203" s="4">
        <v>612</v>
      </c>
      <c r="F1203" s="4">
        <v>3725801</v>
      </c>
      <c r="G1203" s="4">
        <v>1</v>
      </c>
      <c r="H1203" s="4">
        <v>3</v>
      </c>
      <c r="I1203" s="4" t="s">
        <v>18</v>
      </c>
      <c r="J1203" s="4" t="s">
        <v>19</v>
      </c>
      <c r="K1203" s="4" t="s">
        <v>20</v>
      </c>
      <c r="L1203" s="9">
        <v>45026</v>
      </c>
      <c r="M1203" s="9" t="str">
        <f>TEXT(Source_data[[#This Row],[Listing_Date]],"mmm-yy")</f>
        <v>Apr-23</v>
      </c>
      <c r="N1203" s="4">
        <f t="shared" si="18"/>
        <v>6087.910130718954</v>
      </c>
      <c r="O1203" s="3" cm="1">
        <f t="array" ref="O1203">_xlfn.IFS(AND(K1203="Broker",J1203="Resale"),F1203*0.5,AND(K1203="Owner",J1203="Resale"),F1203*0,AND(K1203="Builder",J1203="Resale"),F1203*0.3,AND(J1203="New",K1203="Broker"),F1203*0.1,AND(J1203="New",K1203="Owner"),F1203*0,AND(J1203="New",K1203="Builder"),F1203*0.5)</f>
        <v>372580.10000000003</v>
      </c>
    </row>
    <row r="1204" spans="1:15" x14ac:dyDescent="0.3">
      <c r="A1204" s="8" t="s">
        <v>1280</v>
      </c>
      <c r="B1204" s="4" t="s">
        <v>1156</v>
      </c>
      <c r="C1204" s="4" t="s">
        <v>1164</v>
      </c>
      <c r="D1204" s="4">
        <v>3</v>
      </c>
      <c r="E1204" s="4">
        <v>1448</v>
      </c>
      <c r="F1204" s="4">
        <v>8800685</v>
      </c>
      <c r="G1204" s="4">
        <v>3</v>
      </c>
      <c r="H1204" s="4">
        <v>2</v>
      </c>
      <c r="I1204" s="4" t="s">
        <v>27</v>
      </c>
      <c r="J1204" s="4" t="s">
        <v>19</v>
      </c>
      <c r="K1204" s="4" t="s">
        <v>36</v>
      </c>
      <c r="L1204" s="9">
        <v>45406</v>
      </c>
      <c r="M1204" s="9" t="str">
        <f>TEXT(Source_data[[#This Row],[Listing_Date]],"mmm-yy")</f>
        <v>Apr-24</v>
      </c>
      <c r="N1204" s="4">
        <f t="shared" si="18"/>
        <v>6077.8211325966849</v>
      </c>
      <c r="O1204" s="3" cm="1">
        <f t="array" ref="O1204">_xlfn.IFS(AND(K1204="Broker",J1204="Resale"),F1204*0.5,AND(K1204="Owner",J1204="Resale"),F1204*0,AND(K1204="Builder",J1204="Resale"),F1204*0.3,AND(J1204="New",K1204="Broker"),F1204*0.1,AND(J1204="New",K1204="Owner"),F1204*0,AND(J1204="New",K1204="Builder"),F1204*0.5)</f>
        <v>0</v>
      </c>
    </row>
    <row r="1205" spans="1:15" x14ac:dyDescent="0.3">
      <c r="A1205" s="8" t="s">
        <v>1281</v>
      </c>
      <c r="B1205" s="4" t="s">
        <v>1156</v>
      </c>
      <c r="C1205" s="4" t="s">
        <v>1169</v>
      </c>
      <c r="D1205" s="4">
        <v>2</v>
      </c>
      <c r="E1205" s="4">
        <v>792</v>
      </c>
      <c r="F1205" s="4">
        <v>3798371</v>
      </c>
      <c r="G1205" s="4">
        <v>2</v>
      </c>
      <c r="H1205" s="4">
        <v>2</v>
      </c>
      <c r="I1205" s="4" t="s">
        <v>27</v>
      </c>
      <c r="J1205" s="4" t="s">
        <v>19</v>
      </c>
      <c r="K1205" s="4" t="s">
        <v>20</v>
      </c>
      <c r="L1205" s="9">
        <v>45716</v>
      </c>
      <c r="M1205" s="9" t="str">
        <f>TEXT(Source_data[[#This Row],[Listing_Date]],"mmm-yy")</f>
        <v>Feb-25</v>
      </c>
      <c r="N1205" s="4">
        <f t="shared" si="18"/>
        <v>4795.9229797979797</v>
      </c>
      <c r="O1205" s="3" cm="1">
        <f t="array" ref="O1205">_xlfn.IFS(AND(K1205="Broker",J1205="Resale"),F1205*0.5,AND(K1205="Owner",J1205="Resale"),F1205*0,AND(K1205="Builder",J1205="Resale"),F1205*0.3,AND(J1205="New",K1205="Broker"),F1205*0.1,AND(J1205="New",K1205="Owner"),F1205*0,AND(J1205="New",K1205="Builder"),F1205*0.5)</f>
        <v>379837.10000000003</v>
      </c>
    </row>
    <row r="1206" spans="1:15" x14ac:dyDescent="0.3">
      <c r="A1206" s="8" t="s">
        <v>1282</v>
      </c>
      <c r="B1206" s="4" t="s">
        <v>1156</v>
      </c>
      <c r="C1206" s="4" t="s">
        <v>1167</v>
      </c>
      <c r="D1206" s="4">
        <v>2</v>
      </c>
      <c r="E1206" s="4">
        <v>725</v>
      </c>
      <c r="F1206" s="4">
        <v>3814782</v>
      </c>
      <c r="G1206" s="4">
        <v>2</v>
      </c>
      <c r="H1206" s="4">
        <v>2</v>
      </c>
      <c r="I1206" s="4" t="s">
        <v>27</v>
      </c>
      <c r="J1206" s="4" t="s">
        <v>19</v>
      </c>
      <c r="K1206" s="4" t="s">
        <v>24</v>
      </c>
      <c r="L1206" s="9">
        <v>45082</v>
      </c>
      <c r="M1206" s="9" t="str">
        <f>TEXT(Source_data[[#This Row],[Listing_Date]],"mmm-yy")</f>
        <v>Jun-23</v>
      </c>
      <c r="N1206" s="4">
        <f t="shared" si="18"/>
        <v>5261.7682758620685</v>
      </c>
      <c r="O1206" s="3" cm="1">
        <f t="array" ref="O1206">_xlfn.IFS(AND(K1206="Broker",J1206="Resale"),F1206*0.5,AND(K1206="Owner",J1206="Resale"),F1206*0,AND(K1206="Builder",J1206="Resale"),F1206*0.3,AND(J1206="New",K1206="Broker"),F1206*0.1,AND(J1206="New",K1206="Owner"),F1206*0,AND(J1206="New",K1206="Builder"),F1206*0.5)</f>
        <v>1907391</v>
      </c>
    </row>
    <row r="1207" spans="1:15" x14ac:dyDescent="0.3">
      <c r="A1207" s="8" t="s">
        <v>1283</v>
      </c>
      <c r="B1207" s="4" t="s">
        <v>1156</v>
      </c>
      <c r="C1207" s="4" t="s">
        <v>1157</v>
      </c>
      <c r="D1207" s="4">
        <v>2</v>
      </c>
      <c r="E1207" s="4">
        <v>1026</v>
      </c>
      <c r="F1207" s="4">
        <v>4604885</v>
      </c>
      <c r="G1207" s="4">
        <v>2</v>
      </c>
      <c r="H1207" s="4">
        <v>1</v>
      </c>
      <c r="I1207" s="4" t="s">
        <v>27</v>
      </c>
      <c r="J1207" s="4" t="s">
        <v>23</v>
      </c>
      <c r="K1207" s="4" t="s">
        <v>36</v>
      </c>
      <c r="L1207" s="9">
        <v>45563</v>
      </c>
      <c r="M1207" s="9" t="str">
        <f>TEXT(Source_data[[#This Row],[Listing_Date]],"mmm-yy")</f>
        <v>Sep-24</v>
      </c>
      <c r="N1207" s="4">
        <f t="shared" si="18"/>
        <v>4488.1920077972709</v>
      </c>
      <c r="O1207" s="3" cm="1">
        <f t="array" ref="O1207">_xlfn.IFS(AND(K1207="Broker",J1207="Resale"),F1207*0.5,AND(K1207="Owner",J1207="Resale"),F1207*0,AND(K1207="Builder",J1207="Resale"),F1207*0.3,AND(J1207="New",K1207="Broker"),F1207*0.1,AND(J1207="New",K1207="Owner"),F1207*0,AND(J1207="New",K1207="Builder"),F1207*0.5)</f>
        <v>0</v>
      </c>
    </row>
    <row r="1208" spans="1:15" x14ac:dyDescent="0.3">
      <c r="A1208" s="8" t="s">
        <v>1284</v>
      </c>
      <c r="B1208" s="4" t="s">
        <v>1156</v>
      </c>
      <c r="C1208" s="4" t="s">
        <v>1167</v>
      </c>
      <c r="D1208" s="4">
        <v>2</v>
      </c>
      <c r="E1208" s="4">
        <v>934</v>
      </c>
      <c r="F1208" s="4">
        <v>4452479</v>
      </c>
      <c r="G1208" s="4">
        <v>2</v>
      </c>
      <c r="H1208" s="4">
        <v>0</v>
      </c>
      <c r="I1208" s="4" t="s">
        <v>27</v>
      </c>
      <c r="J1208" s="4" t="s">
        <v>19</v>
      </c>
      <c r="K1208" s="4" t="s">
        <v>20</v>
      </c>
      <c r="L1208" s="9">
        <v>45746</v>
      </c>
      <c r="M1208" s="9" t="str">
        <f>TEXT(Source_data[[#This Row],[Listing_Date]],"mmm-yy")</f>
        <v>Mar-25</v>
      </c>
      <c r="N1208" s="4">
        <f t="shared" si="18"/>
        <v>4767.1081370449683</v>
      </c>
      <c r="O1208" s="3" cm="1">
        <f t="array" ref="O1208">_xlfn.IFS(AND(K1208="Broker",J1208="Resale"),F1208*0.5,AND(K1208="Owner",J1208="Resale"),F1208*0,AND(K1208="Builder",J1208="Resale"),F1208*0.3,AND(J1208="New",K1208="Broker"),F1208*0.1,AND(J1208="New",K1208="Owner"),F1208*0,AND(J1208="New",K1208="Builder"),F1208*0.5)</f>
        <v>445247.9</v>
      </c>
    </row>
    <row r="1209" spans="1:15" x14ac:dyDescent="0.3">
      <c r="A1209" s="8" t="s">
        <v>1285</v>
      </c>
      <c r="B1209" s="4" t="s">
        <v>1286</v>
      </c>
      <c r="C1209" s="4" t="s">
        <v>1287</v>
      </c>
      <c r="D1209" s="4">
        <v>1</v>
      </c>
      <c r="E1209" s="4">
        <v>413</v>
      </c>
      <c r="F1209" s="4">
        <v>9541956</v>
      </c>
      <c r="G1209" s="4">
        <v>1</v>
      </c>
      <c r="H1209" s="4">
        <v>2</v>
      </c>
      <c r="I1209" s="4" t="s">
        <v>8</v>
      </c>
      <c r="J1209" s="4" t="s">
        <v>19</v>
      </c>
      <c r="K1209" s="4" t="s">
        <v>24</v>
      </c>
      <c r="L1209" s="9">
        <v>45367</v>
      </c>
      <c r="M1209" s="9" t="str">
        <f>TEXT(Source_data[[#This Row],[Listing_Date]],"mmm-yy")</f>
        <v>Mar-24</v>
      </c>
      <c r="N1209" s="4">
        <f t="shared" si="18"/>
        <v>23104.009685230023</v>
      </c>
      <c r="O1209" s="3" cm="1">
        <f t="array" ref="O1209">_xlfn.IFS(AND(K1209="Broker",J1209="Resale"),F1209*0.5,AND(K1209="Owner",J1209="Resale"),F1209*0,AND(K1209="Builder",J1209="Resale"),F1209*0.3,AND(J1209="New",K1209="Broker"),F1209*0.1,AND(J1209="New",K1209="Owner"),F1209*0,AND(J1209="New",K1209="Builder"),F1209*0.5)</f>
        <v>4770978</v>
      </c>
    </row>
    <row r="1210" spans="1:15" x14ac:dyDescent="0.3">
      <c r="A1210" s="8" t="s">
        <v>1288</v>
      </c>
      <c r="B1210" s="4" t="s">
        <v>1286</v>
      </c>
      <c r="C1210" s="4" t="s">
        <v>1289</v>
      </c>
      <c r="D1210" s="4">
        <v>4</v>
      </c>
      <c r="E1210" s="4">
        <v>2016</v>
      </c>
      <c r="F1210" s="4">
        <v>45411380</v>
      </c>
      <c r="G1210" s="4">
        <v>3</v>
      </c>
      <c r="H1210" s="4">
        <v>1</v>
      </c>
      <c r="I1210" s="4" t="s">
        <v>8</v>
      </c>
      <c r="J1210" s="4" t="s">
        <v>19</v>
      </c>
      <c r="K1210" s="4" t="s">
        <v>20</v>
      </c>
      <c r="L1210" s="9">
        <v>45042</v>
      </c>
      <c r="M1210" s="9" t="str">
        <f>TEXT(Source_data[[#This Row],[Listing_Date]],"mmm-yy")</f>
        <v>Apr-23</v>
      </c>
      <c r="N1210" s="4">
        <f t="shared" si="18"/>
        <v>22525.486111111109</v>
      </c>
      <c r="O1210" s="3" cm="1">
        <f t="array" ref="O1210">_xlfn.IFS(AND(K1210="Broker",J1210="Resale"),F1210*0.5,AND(K1210="Owner",J1210="Resale"),F1210*0,AND(K1210="Builder",J1210="Resale"),F1210*0.3,AND(J1210="New",K1210="Broker"),F1210*0.1,AND(J1210="New",K1210="Owner"),F1210*0,AND(J1210="New",K1210="Builder"),F1210*0.5)</f>
        <v>4541138</v>
      </c>
    </row>
    <row r="1211" spans="1:15" x14ac:dyDescent="0.3">
      <c r="A1211" s="8" t="s">
        <v>1290</v>
      </c>
      <c r="B1211" s="4" t="s">
        <v>1286</v>
      </c>
      <c r="C1211" s="4" t="s">
        <v>1291</v>
      </c>
      <c r="D1211" s="4">
        <v>4</v>
      </c>
      <c r="E1211" s="4">
        <v>1200</v>
      </c>
      <c r="F1211" s="4">
        <v>25294610</v>
      </c>
      <c r="G1211" s="4">
        <v>3</v>
      </c>
      <c r="H1211" s="4">
        <v>3</v>
      </c>
      <c r="I1211" s="4" t="s">
        <v>18</v>
      </c>
      <c r="J1211" s="4" t="s">
        <v>19</v>
      </c>
      <c r="K1211" s="4" t="s">
        <v>24</v>
      </c>
      <c r="L1211" s="9">
        <v>45400</v>
      </c>
      <c r="M1211" s="9" t="str">
        <f>TEXT(Source_data[[#This Row],[Listing_Date]],"mmm-yy")</f>
        <v>Apr-24</v>
      </c>
      <c r="N1211" s="4">
        <f t="shared" si="18"/>
        <v>21078.841666666667</v>
      </c>
      <c r="O1211" s="3" cm="1">
        <f t="array" ref="O1211">_xlfn.IFS(AND(K1211="Broker",J1211="Resale"),F1211*0.5,AND(K1211="Owner",J1211="Resale"),F1211*0,AND(K1211="Builder",J1211="Resale"),F1211*0.3,AND(J1211="New",K1211="Broker"),F1211*0.1,AND(J1211="New",K1211="Owner"),F1211*0,AND(J1211="New",K1211="Builder"),F1211*0.5)</f>
        <v>12647305</v>
      </c>
    </row>
    <row r="1212" spans="1:15" x14ac:dyDescent="0.3">
      <c r="A1212" s="8" t="s">
        <v>1292</v>
      </c>
      <c r="B1212" s="4" t="s">
        <v>1286</v>
      </c>
      <c r="C1212" s="4" t="s">
        <v>1293</v>
      </c>
      <c r="D1212" s="4">
        <v>4</v>
      </c>
      <c r="E1212" s="4">
        <v>1611</v>
      </c>
      <c r="F1212" s="4">
        <v>45626100</v>
      </c>
      <c r="G1212" s="4">
        <v>3</v>
      </c>
      <c r="H1212" s="4">
        <v>2</v>
      </c>
      <c r="I1212" s="4" t="s">
        <v>8</v>
      </c>
      <c r="J1212" s="4" t="s">
        <v>23</v>
      </c>
      <c r="K1212" s="4" t="s">
        <v>24</v>
      </c>
      <c r="L1212" s="9">
        <v>45555</v>
      </c>
      <c r="M1212" s="9" t="str">
        <f>TEXT(Source_data[[#This Row],[Listing_Date]],"mmm-yy")</f>
        <v>Sep-24</v>
      </c>
      <c r="N1212" s="4">
        <f t="shared" si="18"/>
        <v>28321.601489757915</v>
      </c>
      <c r="O1212" s="3" cm="1">
        <f t="array" ref="O1212">_xlfn.IFS(AND(K1212="Broker",J1212="Resale"),F1212*0.5,AND(K1212="Owner",J1212="Resale"),F1212*0,AND(K1212="Builder",J1212="Resale"),F1212*0.3,AND(J1212="New",K1212="Broker"),F1212*0.1,AND(J1212="New",K1212="Owner"),F1212*0,AND(J1212="New",K1212="Builder"),F1212*0.5)</f>
        <v>13687830</v>
      </c>
    </row>
    <row r="1213" spans="1:15" x14ac:dyDescent="0.3">
      <c r="A1213" s="8" t="s">
        <v>1294</v>
      </c>
      <c r="B1213" s="4" t="s">
        <v>1286</v>
      </c>
      <c r="C1213" s="4" t="s">
        <v>1287</v>
      </c>
      <c r="D1213" s="4">
        <v>2</v>
      </c>
      <c r="E1213" s="4">
        <v>964</v>
      </c>
      <c r="F1213" s="4">
        <v>13857228</v>
      </c>
      <c r="G1213" s="4">
        <v>3</v>
      </c>
      <c r="H1213" s="4">
        <v>2</v>
      </c>
      <c r="I1213" s="4" t="s">
        <v>18</v>
      </c>
      <c r="J1213" s="4" t="s">
        <v>23</v>
      </c>
      <c r="K1213" s="4" t="s">
        <v>36</v>
      </c>
      <c r="L1213" s="9">
        <v>44965</v>
      </c>
      <c r="M1213" s="9" t="str">
        <f>TEXT(Source_data[[#This Row],[Listing_Date]],"mmm-yy")</f>
        <v>Feb-23</v>
      </c>
      <c r="N1213" s="4">
        <f t="shared" si="18"/>
        <v>14374.717842323651</v>
      </c>
      <c r="O1213" s="3" cm="1">
        <f t="array" ref="O1213">_xlfn.IFS(AND(K1213="Broker",J1213="Resale"),F1213*0.5,AND(K1213="Owner",J1213="Resale"),F1213*0,AND(K1213="Builder",J1213="Resale"),F1213*0.3,AND(J1213="New",K1213="Broker"),F1213*0.1,AND(J1213="New",K1213="Owner"),F1213*0,AND(J1213="New",K1213="Builder"),F1213*0.5)</f>
        <v>0</v>
      </c>
    </row>
    <row r="1214" spans="1:15" x14ac:dyDescent="0.3">
      <c r="A1214" s="8" t="s">
        <v>1295</v>
      </c>
      <c r="B1214" s="4" t="s">
        <v>1286</v>
      </c>
      <c r="C1214" s="4" t="s">
        <v>1293</v>
      </c>
      <c r="D1214" s="4">
        <v>1</v>
      </c>
      <c r="E1214" s="4">
        <v>447</v>
      </c>
      <c r="F1214" s="4">
        <v>9087587</v>
      </c>
      <c r="G1214" s="4">
        <v>1</v>
      </c>
      <c r="H1214" s="4">
        <v>2</v>
      </c>
      <c r="I1214" s="4" t="s">
        <v>8</v>
      </c>
      <c r="J1214" s="4" t="s">
        <v>23</v>
      </c>
      <c r="K1214" s="4" t="s">
        <v>20</v>
      </c>
      <c r="L1214" s="9">
        <v>44928</v>
      </c>
      <c r="M1214" s="9" t="str">
        <f>TEXT(Source_data[[#This Row],[Listing_Date]],"mmm-yy")</f>
        <v>Jan-23</v>
      </c>
      <c r="N1214" s="4">
        <f t="shared" si="18"/>
        <v>20330.172259507832</v>
      </c>
      <c r="O1214" s="3" cm="1">
        <f t="array" ref="O1214">_xlfn.IFS(AND(K1214="Broker",J1214="Resale"),F1214*0.5,AND(K1214="Owner",J1214="Resale"),F1214*0,AND(K1214="Builder",J1214="Resale"),F1214*0.3,AND(J1214="New",K1214="Broker"),F1214*0.1,AND(J1214="New",K1214="Owner"),F1214*0,AND(J1214="New",K1214="Builder"),F1214*0.5)</f>
        <v>4543793.5</v>
      </c>
    </row>
    <row r="1215" spans="1:15" x14ac:dyDescent="0.3">
      <c r="A1215" s="8" t="s">
        <v>1296</v>
      </c>
      <c r="B1215" s="4" t="s">
        <v>1286</v>
      </c>
      <c r="C1215" s="4" t="s">
        <v>1293</v>
      </c>
      <c r="D1215" s="4">
        <v>2</v>
      </c>
      <c r="E1215" s="4">
        <v>1601</v>
      </c>
      <c r="F1215" s="4">
        <v>49190051</v>
      </c>
      <c r="G1215" s="4">
        <v>3</v>
      </c>
      <c r="H1215" s="4">
        <v>1</v>
      </c>
      <c r="I1215" s="4" t="s">
        <v>27</v>
      </c>
      <c r="J1215" s="4" t="s">
        <v>23</v>
      </c>
      <c r="K1215" s="4" t="s">
        <v>24</v>
      </c>
      <c r="L1215" s="9">
        <v>45689</v>
      </c>
      <c r="M1215" s="9" t="str">
        <f>TEXT(Source_data[[#This Row],[Listing_Date]],"mmm-yy")</f>
        <v>Feb-25</v>
      </c>
      <c r="N1215" s="4">
        <f t="shared" si="18"/>
        <v>30724.579013116803</v>
      </c>
      <c r="O1215" s="3" cm="1">
        <f t="array" ref="O1215">_xlfn.IFS(AND(K1215="Broker",J1215="Resale"),F1215*0.5,AND(K1215="Owner",J1215="Resale"),F1215*0,AND(K1215="Builder",J1215="Resale"),F1215*0.3,AND(J1215="New",K1215="Broker"),F1215*0.1,AND(J1215="New",K1215="Owner"),F1215*0,AND(J1215="New",K1215="Builder"),F1215*0.5)</f>
        <v>14757015.299999999</v>
      </c>
    </row>
    <row r="1216" spans="1:15" x14ac:dyDescent="0.3">
      <c r="A1216" s="8" t="s">
        <v>1297</v>
      </c>
      <c r="B1216" s="4" t="s">
        <v>1286</v>
      </c>
      <c r="C1216" s="4" t="s">
        <v>1289</v>
      </c>
      <c r="D1216" s="4">
        <v>2</v>
      </c>
      <c r="E1216" s="4">
        <v>1135</v>
      </c>
      <c r="F1216" s="4">
        <v>26776778</v>
      </c>
      <c r="G1216" s="4">
        <v>2</v>
      </c>
      <c r="H1216" s="4">
        <v>1</v>
      </c>
      <c r="I1216" s="4" t="s">
        <v>8</v>
      </c>
      <c r="J1216" s="4" t="s">
        <v>23</v>
      </c>
      <c r="K1216" s="4" t="s">
        <v>24</v>
      </c>
      <c r="L1216" s="9">
        <v>45616</v>
      </c>
      <c r="M1216" s="9" t="str">
        <f>TEXT(Source_data[[#This Row],[Listing_Date]],"mmm-yy")</f>
        <v>Nov-24</v>
      </c>
      <c r="N1216" s="4">
        <f t="shared" si="18"/>
        <v>23591.874889867842</v>
      </c>
      <c r="O1216" s="3" cm="1">
        <f t="array" ref="O1216">_xlfn.IFS(AND(K1216="Broker",J1216="Resale"),F1216*0.5,AND(K1216="Owner",J1216="Resale"),F1216*0,AND(K1216="Builder",J1216="Resale"),F1216*0.3,AND(J1216="New",K1216="Broker"),F1216*0.1,AND(J1216="New",K1216="Owner"),F1216*0,AND(J1216="New",K1216="Builder"),F1216*0.5)</f>
        <v>8033033.3999999994</v>
      </c>
    </row>
    <row r="1217" spans="1:15" x14ac:dyDescent="0.3">
      <c r="A1217" s="8" t="s">
        <v>1298</v>
      </c>
      <c r="B1217" s="4" t="s">
        <v>1286</v>
      </c>
      <c r="C1217" s="4" t="s">
        <v>1299</v>
      </c>
      <c r="D1217" s="4">
        <v>1</v>
      </c>
      <c r="E1217" s="4">
        <v>585</v>
      </c>
      <c r="F1217" s="4">
        <v>13901366</v>
      </c>
      <c r="G1217" s="4">
        <v>1</v>
      </c>
      <c r="H1217" s="4">
        <v>1</v>
      </c>
      <c r="I1217" s="4" t="s">
        <v>27</v>
      </c>
      <c r="J1217" s="4" t="s">
        <v>23</v>
      </c>
      <c r="K1217" s="4" t="s">
        <v>20</v>
      </c>
      <c r="L1217" s="9">
        <v>45332</v>
      </c>
      <c r="M1217" s="9" t="str">
        <f>TEXT(Source_data[[#This Row],[Listing_Date]],"mmm-yy")</f>
        <v>Feb-24</v>
      </c>
      <c r="N1217" s="4">
        <f t="shared" si="18"/>
        <v>23763.018803418803</v>
      </c>
      <c r="O1217" s="3" cm="1">
        <f t="array" ref="O1217">_xlfn.IFS(AND(K1217="Broker",J1217="Resale"),F1217*0.5,AND(K1217="Owner",J1217="Resale"),F1217*0,AND(K1217="Builder",J1217="Resale"),F1217*0.3,AND(J1217="New",K1217="Broker"),F1217*0.1,AND(J1217="New",K1217="Owner"),F1217*0,AND(J1217="New",K1217="Builder"),F1217*0.5)</f>
        <v>6950683</v>
      </c>
    </row>
    <row r="1218" spans="1:15" x14ac:dyDescent="0.3">
      <c r="A1218" s="8" t="s">
        <v>1300</v>
      </c>
      <c r="B1218" s="4" t="s">
        <v>1286</v>
      </c>
      <c r="C1218" s="4" t="s">
        <v>1293</v>
      </c>
      <c r="D1218" s="4">
        <v>2</v>
      </c>
      <c r="E1218" s="4">
        <v>1464</v>
      </c>
      <c r="F1218" s="4">
        <v>40736139</v>
      </c>
      <c r="G1218" s="4">
        <v>2</v>
      </c>
      <c r="H1218" s="4">
        <v>2</v>
      </c>
      <c r="I1218" s="4" t="s">
        <v>27</v>
      </c>
      <c r="J1218" s="4" t="s">
        <v>19</v>
      </c>
      <c r="K1218" s="4" t="s">
        <v>36</v>
      </c>
      <c r="L1218" s="9">
        <v>45645</v>
      </c>
      <c r="M1218" s="9" t="str">
        <f>TEXT(Source_data[[#This Row],[Listing_Date]],"mmm-yy")</f>
        <v>Dec-24</v>
      </c>
      <c r="N1218" s="4">
        <f t="shared" si="18"/>
        <v>27825.23155737705</v>
      </c>
      <c r="O1218" s="3" cm="1">
        <f t="array" ref="O1218">_xlfn.IFS(AND(K1218="Broker",J1218="Resale"),F1218*0.5,AND(K1218="Owner",J1218="Resale"),F1218*0,AND(K1218="Builder",J1218="Resale"),F1218*0.3,AND(J1218="New",K1218="Broker"),F1218*0.1,AND(J1218="New",K1218="Owner"),F1218*0,AND(J1218="New",K1218="Builder"),F1218*0.5)</f>
        <v>0</v>
      </c>
    </row>
    <row r="1219" spans="1:15" x14ac:dyDescent="0.3">
      <c r="A1219" s="8" t="s">
        <v>1301</v>
      </c>
      <c r="B1219" s="4" t="s">
        <v>1286</v>
      </c>
      <c r="C1219" s="4" t="s">
        <v>1289</v>
      </c>
      <c r="D1219" s="4">
        <v>3</v>
      </c>
      <c r="E1219" s="4">
        <v>1456</v>
      </c>
      <c r="F1219" s="4">
        <v>19714267</v>
      </c>
      <c r="G1219" s="4">
        <v>2</v>
      </c>
      <c r="H1219" s="4">
        <v>1</v>
      </c>
      <c r="I1219" s="4" t="s">
        <v>27</v>
      </c>
      <c r="J1219" s="4" t="s">
        <v>19</v>
      </c>
      <c r="K1219" s="4" t="s">
        <v>24</v>
      </c>
      <c r="L1219" s="9">
        <v>45746</v>
      </c>
      <c r="M1219" s="9" t="str">
        <f>TEXT(Source_data[[#This Row],[Listing_Date]],"mmm-yy")</f>
        <v>Mar-25</v>
      </c>
      <c r="N1219" s="4">
        <f t="shared" ref="N1219:N1282" si="19">F1219/E1219</f>
        <v>13540.018543956045</v>
      </c>
      <c r="O1219" s="3" cm="1">
        <f t="array" ref="O1219">_xlfn.IFS(AND(K1219="Broker",J1219="Resale"),F1219*0.5,AND(K1219="Owner",J1219="Resale"),F1219*0,AND(K1219="Builder",J1219="Resale"),F1219*0.3,AND(J1219="New",K1219="Broker"),F1219*0.1,AND(J1219="New",K1219="Owner"),F1219*0,AND(J1219="New",K1219="Builder"),F1219*0.5)</f>
        <v>9857133.5</v>
      </c>
    </row>
    <row r="1220" spans="1:15" x14ac:dyDescent="0.3">
      <c r="A1220" s="8" t="s">
        <v>1302</v>
      </c>
      <c r="B1220" s="4" t="s">
        <v>1286</v>
      </c>
      <c r="C1220" s="4" t="s">
        <v>1299</v>
      </c>
      <c r="D1220" s="4">
        <v>2</v>
      </c>
      <c r="E1220" s="4">
        <v>1204</v>
      </c>
      <c r="F1220" s="4">
        <v>12066956</v>
      </c>
      <c r="G1220" s="4">
        <v>2</v>
      </c>
      <c r="H1220" s="4">
        <v>2</v>
      </c>
      <c r="I1220" s="4" t="s">
        <v>8</v>
      </c>
      <c r="J1220" s="4" t="s">
        <v>19</v>
      </c>
      <c r="K1220" s="4" t="s">
        <v>24</v>
      </c>
      <c r="L1220" s="9">
        <v>44934</v>
      </c>
      <c r="M1220" s="9" t="str">
        <f>TEXT(Source_data[[#This Row],[Listing_Date]],"mmm-yy")</f>
        <v>Jan-23</v>
      </c>
      <c r="N1220" s="4">
        <f t="shared" si="19"/>
        <v>10022.388704318937</v>
      </c>
      <c r="O1220" s="3" cm="1">
        <f t="array" ref="O1220">_xlfn.IFS(AND(K1220="Broker",J1220="Resale"),F1220*0.5,AND(K1220="Owner",J1220="Resale"),F1220*0,AND(K1220="Builder",J1220="Resale"),F1220*0.3,AND(J1220="New",K1220="Broker"),F1220*0.1,AND(J1220="New",K1220="Owner"),F1220*0,AND(J1220="New",K1220="Builder"),F1220*0.5)</f>
        <v>6033478</v>
      </c>
    </row>
    <row r="1221" spans="1:15" x14ac:dyDescent="0.3">
      <c r="A1221" s="8" t="s">
        <v>1303</v>
      </c>
      <c r="B1221" s="4" t="s">
        <v>1286</v>
      </c>
      <c r="C1221" s="4" t="s">
        <v>1291</v>
      </c>
      <c r="D1221" s="4">
        <v>3</v>
      </c>
      <c r="E1221" s="4">
        <v>908</v>
      </c>
      <c r="F1221" s="4">
        <v>11537584</v>
      </c>
      <c r="G1221" s="4">
        <v>3</v>
      </c>
      <c r="H1221" s="4">
        <v>0</v>
      </c>
      <c r="I1221" s="4" t="s">
        <v>8</v>
      </c>
      <c r="J1221" s="4" t="s">
        <v>19</v>
      </c>
      <c r="K1221" s="4" t="s">
        <v>24</v>
      </c>
      <c r="L1221" s="9">
        <v>45485</v>
      </c>
      <c r="M1221" s="9" t="str">
        <f>TEXT(Source_data[[#This Row],[Listing_Date]],"mmm-yy")</f>
        <v>Jul-24</v>
      </c>
      <c r="N1221" s="4">
        <f t="shared" si="19"/>
        <v>12706.590308370043</v>
      </c>
      <c r="O1221" s="3" cm="1">
        <f t="array" ref="O1221">_xlfn.IFS(AND(K1221="Broker",J1221="Resale"),F1221*0.5,AND(K1221="Owner",J1221="Resale"),F1221*0,AND(K1221="Builder",J1221="Resale"),F1221*0.3,AND(J1221="New",K1221="Broker"),F1221*0.1,AND(J1221="New",K1221="Owner"),F1221*0,AND(J1221="New",K1221="Builder"),F1221*0.5)</f>
        <v>5768792</v>
      </c>
    </row>
    <row r="1222" spans="1:15" x14ac:dyDescent="0.3">
      <c r="A1222" s="8" t="s">
        <v>1304</v>
      </c>
      <c r="B1222" s="4" t="s">
        <v>1286</v>
      </c>
      <c r="C1222" s="4" t="s">
        <v>1305</v>
      </c>
      <c r="D1222" s="4">
        <v>2</v>
      </c>
      <c r="E1222" s="4">
        <v>1061</v>
      </c>
      <c r="F1222" s="4">
        <v>18266953</v>
      </c>
      <c r="G1222" s="4">
        <v>1</v>
      </c>
      <c r="H1222" s="4">
        <v>3</v>
      </c>
      <c r="I1222" s="4" t="s">
        <v>27</v>
      </c>
      <c r="J1222" s="4" t="s">
        <v>23</v>
      </c>
      <c r="K1222" s="4" t="s">
        <v>36</v>
      </c>
      <c r="L1222" s="9">
        <v>45743</v>
      </c>
      <c r="M1222" s="9" t="str">
        <f>TEXT(Source_data[[#This Row],[Listing_Date]],"mmm-yy")</f>
        <v>Mar-25</v>
      </c>
      <c r="N1222" s="4">
        <f t="shared" si="19"/>
        <v>17216.73232799246</v>
      </c>
      <c r="O1222" s="3" cm="1">
        <f t="array" ref="O1222">_xlfn.IFS(AND(K1222="Broker",J1222="Resale"),F1222*0.5,AND(K1222="Owner",J1222="Resale"),F1222*0,AND(K1222="Builder",J1222="Resale"),F1222*0.3,AND(J1222="New",K1222="Broker"),F1222*0.1,AND(J1222="New",K1222="Owner"),F1222*0,AND(J1222="New",K1222="Builder"),F1222*0.5)</f>
        <v>0</v>
      </c>
    </row>
    <row r="1223" spans="1:15" x14ac:dyDescent="0.3">
      <c r="A1223" s="8" t="s">
        <v>1306</v>
      </c>
      <c r="B1223" s="4" t="s">
        <v>1286</v>
      </c>
      <c r="C1223" s="4" t="s">
        <v>1299</v>
      </c>
      <c r="D1223" s="4">
        <v>2</v>
      </c>
      <c r="E1223" s="4">
        <v>724</v>
      </c>
      <c r="F1223" s="4">
        <v>20054071</v>
      </c>
      <c r="G1223" s="4">
        <v>2</v>
      </c>
      <c r="H1223" s="4">
        <v>2</v>
      </c>
      <c r="I1223" s="4" t="s">
        <v>8</v>
      </c>
      <c r="J1223" s="4" t="s">
        <v>19</v>
      </c>
      <c r="K1223" s="4" t="s">
        <v>36</v>
      </c>
      <c r="L1223" s="9">
        <v>45598</v>
      </c>
      <c r="M1223" s="9" t="str">
        <f>TEXT(Source_data[[#This Row],[Listing_Date]],"mmm-yy")</f>
        <v>Nov-24</v>
      </c>
      <c r="N1223" s="4">
        <f t="shared" si="19"/>
        <v>27698.993093922651</v>
      </c>
      <c r="O1223" s="3" cm="1">
        <f t="array" ref="O1223">_xlfn.IFS(AND(K1223="Broker",J1223="Resale"),F1223*0.5,AND(K1223="Owner",J1223="Resale"),F1223*0,AND(K1223="Builder",J1223="Resale"),F1223*0.3,AND(J1223="New",K1223="Broker"),F1223*0.1,AND(J1223="New",K1223="Owner"),F1223*0,AND(J1223="New",K1223="Builder"),F1223*0.5)</f>
        <v>0</v>
      </c>
    </row>
    <row r="1224" spans="1:15" x14ac:dyDescent="0.3">
      <c r="A1224" s="8" t="s">
        <v>1307</v>
      </c>
      <c r="B1224" s="4" t="s">
        <v>1286</v>
      </c>
      <c r="C1224" s="4" t="s">
        <v>1299</v>
      </c>
      <c r="D1224" s="4">
        <v>2</v>
      </c>
      <c r="E1224" s="4">
        <v>1276</v>
      </c>
      <c r="F1224" s="4">
        <v>30959722</v>
      </c>
      <c r="G1224" s="4">
        <v>2</v>
      </c>
      <c r="H1224" s="4">
        <v>2</v>
      </c>
      <c r="I1224" s="4" t="s">
        <v>18</v>
      </c>
      <c r="J1224" s="4" t="s">
        <v>19</v>
      </c>
      <c r="K1224" s="4" t="s">
        <v>20</v>
      </c>
      <c r="L1224" s="9">
        <v>45880</v>
      </c>
      <c r="M1224" s="9" t="str">
        <f>TEXT(Source_data[[#This Row],[Listing_Date]],"mmm-yy")</f>
        <v>Aug-25</v>
      </c>
      <c r="N1224" s="4">
        <f t="shared" si="19"/>
        <v>24263.10501567398</v>
      </c>
      <c r="O1224" s="3" cm="1">
        <f t="array" ref="O1224">_xlfn.IFS(AND(K1224="Broker",J1224="Resale"),F1224*0.5,AND(K1224="Owner",J1224="Resale"),F1224*0,AND(K1224="Builder",J1224="Resale"),F1224*0.3,AND(J1224="New",K1224="Broker"),F1224*0.1,AND(J1224="New",K1224="Owner"),F1224*0,AND(J1224="New",K1224="Builder"),F1224*0.5)</f>
        <v>3095972.2</v>
      </c>
    </row>
    <row r="1225" spans="1:15" x14ac:dyDescent="0.3">
      <c r="A1225" s="8" t="s">
        <v>1308</v>
      </c>
      <c r="B1225" s="4" t="s">
        <v>1286</v>
      </c>
      <c r="C1225" s="4" t="s">
        <v>1289</v>
      </c>
      <c r="D1225" s="4">
        <v>3</v>
      </c>
      <c r="E1225" s="4">
        <v>1234</v>
      </c>
      <c r="F1225" s="4">
        <v>20091184</v>
      </c>
      <c r="G1225" s="4">
        <v>3</v>
      </c>
      <c r="H1225" s="4">
        <v>1</v>
      </c>
      <c r="I1225" s="4" t="s">
        <v>8</v>
      </c>
      <c r="J1225" s="4" t="s">
        <v>19</v>
      </c>
      <c r="K1225" s="4" t="s">
        <v>20</v>
      </c>
      <c r="L1225" s="9">
        <v>45129</v>
      </c>
      <c r="M1225" s="9" t="str">
        <f>TEXT(Source_data[[#This Row],[Listing_Date]],"mmm-yy")</f>
        <v>Jul-23</v>
      </c>
      <c r="N1225" s="4">
        <f t="shared" si="19"/>
        <v>16281.348460291734</v>
      </c>
      <c r="O1225" s="3" cm="1">
        <f t="array" ref="O1225">_xlfn.IFS(AND(K1225="Broker",J1225="Resale"),F1225*0.5,AND(K1225="Owner",J1225="Resale"),F1225*0,AND(K1225="Builder",J1225="Resale"),F1225*0.3,AND(J1225="New",K1225="Broker"),F1225*0.1,AND(J1225="New",K1225="Owner"),F1225*0,AND(J1225="New",K1225="Builder"),F1225*0.5)</f>
        <v>2009118.4000000001</v>
      </c>
    </row>
    <row r="1226" spans="1:15" x14ac:dyDescent="0.3">
      <c r="A1226" s="8" t="s">
        <v>1309</v>
      </c>
      <c r="B1226" s="4" t="s">
        <v>1286</v>
      </c>
      <c r="C1226" s="4" t="s">
        <v>1287</v>
      </c>
      <c r="D1226" s="4">
        <v>2</v>
      </c>
      <c r="E1226" s="4">
        <v>1214</v>
      </c>
      <c r="F1226" s="4">
        <v>22298142</v>
      </c>
      <c r="G1226" s="4">
        <v>2</v>
      </c>
      <c r="H1226" s="4">
        <v>3</v>
      </c>
      <c r="I1226" s="4" t="s">
        <v>27</v>
      </c>
      <c r="J1226" s="4" t="s">
        <v>19</v>
      </c>
      <c r="K1226" s="4" t="s">
        <v>20</v>
      </c>
      <c r="L1226" s="9">
        <v>45334</v>
      </c>
      <c r="M1226" s="9" t="str">
        <f>TEXT(Source_data[[#This Row],[Listing_Date]],"mmm-yy")</f>
        <v>Feb-24</v>
      </c>
      <c r="N1226" s="4">
        <f t="shared" si="19"/>
        <v>18367.497528830314</v>
      </c>
      <c r="O1226" s="3" cm="1">
        <f t="array" ref="O1226">_xlfn.IFS(AND(K1226="Broker",J1226="Resale"),F1226*0.5,AND(K1226="Owner",J1226="Resale"),F1226*0,AND(K1226="Builder",J1226="Resale"),F1226*0.3,AND(J1226="New",K1226="Broker"),F1226*0.1,AND(J1226="New",K1226="Owner"),F1226*0,AND(J1226="New",K1226="Builder"),F1226*0.5)</f>
        <v>2229814.2000000002</v>
      </c>
    </row>
    <row r="1227" spans="1:15" x14ac:dyDescent="0.3">
      <c r="A1227" s="8" t="s">
        <v>1310</v>
      </c>
      <c r="B1227" s="4" t="s">
        <v>1286</v>
      </c>
      <c r="C1227" s="4" t="s">
        <v>1305</v>
      </c>
      <c r="D1227" s="4">
        <v>4</v>
      </c>
      <c r="E1227" s="4">
        <v>2009</v>
      </c>
      <c r="F1227" s="4">
        <v>49467458</v>
      </c>
      <c r="G1227" s="4">
        <v>3</v>
      </c>
      <c r="H1227" s="4">
        <v>1</v>
      </c>
      <c r="I1227" s="4" t="s">
        <v>27</v>
      </c>
      <c r="J1227" s="4" t="s">
        <v>19</v>
      </c>
      <c r="K1227" s="4" t="s">
        <v>24</v>
      </c>
      <c r="L1227" s="9">
        <v>45680</v>
      </c>
      <c r="M1227" s="9" t="str">
        <f>TEXT(Source_data[[#This Row],[Listing_Date]],"mmm-yy")</f>
        <v>Jan-25</v>
      </c>
      <c r="N1227" s="4">
        <f t="shared" si="19"/>
        <v>24622.925833748133</v>
      </c>
      <c r="O1227" s="3" cm="1">
        <f t="array" ref="O1227">_xlfn.IFS(AND(K1227="Broker",J1227="Resale"),F1227*0.5,AND(K1227="Owner",J1227="Resale"),F1227*0,AND(K1227="Builder",J1227="Resale"),F1227*0.3,AND(J1227="New",K1227="Broker"),F1227*0.1,AND(J1227="New",K1227="Owner"),F1227*0,AND(J1227="New",K1227="Builder"),F1227*0.5)</f>
        <v>24733729</v>
      </c>
    </row>
    <row r="1228" spans="1:15" x14ac:dyDescent="0.3">
      <c r="A1228" s="8" t="s">
        <v>1311</v>
      </c>
      <c r="B1228" s="4" t="s">
        <v>1286</v>
      </c>
      <c r="C1228" s="4" t="s">
        <v>1291</v>
      </c>
      <c r="D1228" s="4">
        <v>3</v>
      </c>
      <c r="E1228" s="4">
        <v>1204</v>
      </c>
      <c r="F1228" s="4">
        <v>12066956</v>
      </c>
      <c r="G1228" s="4">
        <v>2</v>
      </c>
      <c r="H1228" s="4">
        <v>2</v>
      </c>
      <c r="I1228" s="4" t="s">
        <v>8</v>
      </c>
      <c r="J1228" s="4" t="s">
        <v>19</v>
      </c>
      <c r="K1228" s="4" t="s">
        <v>24</v>
      </c>
      <c r="L1228" s="9">
        <v>45715</v>
      </c>
      <c r="M1228" s="9" t="str">
        <f>TEXT(Source_data[[#This Row],[Listing_Date]],"mmm-yy")</f>
        <v>Feb-25</v>
      </c>
      <c r="N1228" s="4">
        <f t="shared" si="19"/>
        <v>10022.388704318937</v>
      </c>
      <c r="O1228" s="3" cm="1">
        <f t="array" ref="O1228">_xlfn.IFS(AND(K1228="Broker",J1228="Resale"),F1228*0.5,AND(K1228="Owner",J1228="Resale"),F1228*0,AND(K1228="Builder",J1228="Resale"),F1228*0.3,AND(J1228="New",K1228="Broker"),F1228*0.1,AND(J1228="New",K1228="Owner"),F1228*0,AND(J1228="New",K1228="Builder"),F1228*0.5)</f>
        <v>6033478</v>
      </c>
    </row>
    <row r="1229" spans="1:15" x14ac:dyDescent="0.3">
      <c r="A1229" s="8" t="s">
        <v>1312</v>
      </c>
      <c r="B1229" s="4" t="s">
        <v>1286</v>
      </c>
      <c r="C1229" s="4" t="s">
        <v>1293</v>
      </c>
      <c r="D1229" s="4">
        <v>3</v>
      </c>
      <c r="E1229" s="4">
        <v>1268</v>
      </c>
      <c r="F1229" s="4">
        <v>29536608</v>
      </c>
      <c r="G1229" s="4">
        <v>3</v>
      </c>
      <c r="H1229" s="4">
        <v>2</v>
      </c>
      <c r="I1229" s="4" t="s">
        <v>18</v>
      </c>
      <c r="J1229" s="4" t="s">
        <v>23</v>
      </c>
      <c r="K1229" s="4" t="s">
        <v>36</v>
      </c>
      <c r="L1229" s="9">
        <v>45364</v>
      </c>
      <c r="M1229" s="9" t="str">
        <f>TEXT(Source_data[[#This Row],[Listing_Date]],"mmm-yy")</f>
        <v>Mar-24</v>
      </c>
      <c r="N1229" s="4">
        <f t="shared" si="19"/>
        <v>23293.854889589904</v>
      </c>
      <c r="O1229" s="3" cm="1">
        <f t="array" ref="O1229">_xlfn.IFS(AND(K1229="Broker",J1229="Resale"),F1229*0.5,AND(K1229="Owner",J1229="Resale"),F1229*0,AND(K1229="Builder",J1229="Resale"),F1229*0.3,AND(J1229="New",K1229="Broker"),F1229*0.1,AND(J1229="New",K1229="Owner"),F1229*0,AND(J1229="New",K1229="Builder"),F1229*0.5)</f>
        <v>0</v>
      </c>
    </row>
    <row r="1230" spans="1:15" x14ac:dyDescent="0.3">
      <c r="A1230" s="8" t="s">
        <v>1313</v>
      </c>
      <c r="B1230" s="4" t="s">
        <v>1286</v>
      </c>
      <c r="C1230" s="4" t="s">
        <v>1305</v>
      </c>
      <c r="D1230" s="4">
        <v>2</v>
      </c>
      <c r="E1230" s="4">
        <v>842</v>
      </c>
      <c r="F1230" s="4">
        <v>18757375</v>
      </c>
      <c r="G1230" s="4">
        <v>2</v>
      </c>
      <c r="H1230" s="4">
        <v>2</v>
      </c>
      <c r="I1230" s="4" t="s">
        <v>27</v>
      </c>
      <c r="J1230" s="4" t="s">
        <v>19</v>
      </c>
      <c r="K1230" s="4" t="s">
        <v>24</v>
      </c>
      <c r="L1230" s="9">
        <v>45246</v>
      </c>
      <c r="M1230" s="9" t="str">
        <f>TEXT(Source_data[[#This Row],[Listing_Date]],"mmm-yy")</f>
        <v>Nov-23</v>
      </c>
      <c r="N1230" s="4">
        <f t="shared" si="19"/>
        <v>22277.167458432305</v>
      </c>
      <c r="O1230" s="3" cm="1">
        <f t="array" ref="O1230">_xlfn.IFS(AND(K1230="Broker",J1230="Resale"),F1230*0.5,AND(K1230="Owner",J1230="Resale"),F1230*0,AND(K1230="Builder",J1230="Resale"),F1230*0.3,AND(J1230="New",K1230="Broker"),F1230*0.1,AND(J1230="New",K1230="Owner"),F1230*0,AND(J1230="New",K1230="Builder"),F1230*0.5)</f>
        <v>9378687.5</v>
      </c>
    </row>
    <row r="1231" spans="1:15" x14ac:dyDescent="0.3">
      <c r="A1231" s="8" t="s">
        <v>1314</v>
      </c>
      <c r="B1231" s="4" t="s">
        <v>1286</v>
      </c>
      <c r="C1231" s="4" t="s">
        <v>1305</v>
      </c>
      <c r="D1231" s="4">
        <v>3</v>
      </c>
      <c r="E1231" s="4">
        <v>869</v>
      </c>
      <c r="F1231" s="4">
        <v>23287331</v>
      </c>
      <c r="G1231" s="4">
        <v>4</v>
      </c>
      <c r="H1231" s="4">
        <v>1</v>
      </c>
      <c r="I1231" s="4" t="s">
        <v>8</v>
      </c>
      <c r="J1231" s="4" t="s">
        <v>19</v>
      </c>
      <c r="K1231" s="4" t="s">
        <v>20</v>
      </c>
      <c r="L1231" s="9">
        <v>45560</v>
      </c>
      <c r="M1231" s="9" t="str">
        <f>TEXT(Source_data[[#This Row],[Listing_Date]],"mmm-yy")</f>
        <v>Sep-24</v>
      </c>
      <c r="N1231" s="4">
        <f t="shared" si="19"/>
        <v>26797.84925201381</v>
      </c>
      <c r="O1231" s="3" cm="1">
        <f t="array" ref="O1231">_xlfn.IFS(AND(K1231="Broker",J1231="Resale"),F1231*0.5,AND(K1231="Owner",J1231="Resale"),F1231*0,AND(K1231="Builder",J1231="Resale"),F1231*0.3,AND(J1231="New",K1231="Broker"),F1231*0.1,AND(J1231="New",K1231="Owner"),F1231*0,AND(J1231="New",K1231="Builder"),F1231*0.5)</f>
        <v>2328733.1</v>
      </c>
    </row>
    <row r="1232" spans="1:15" x14ac:dyDescent="0.3">
      <c r="A1232" s="8" t="s">
        <v>1315</v>
      </c>
      <c r="B1232" s="4" t="s">
        <v>1286</v>
      </c>
      <c r="C1232" s="4" t="s">
        <v>1305</v>
      </c>
      <c r="D1232" s="4">
        <v>2</v>
      </c>
      <c r="E1232" s="4">
        <v>369</v>
      </c>
      <c r="F1232" s="4">
        <v>7220483</v>
      </c>
      <c r="G1232" s="4">
        <v>2</v>
      </c>
      <c r="H1232" s="4">
        <v>0</v>
      </c>
      <c r="I1232" s="4" t="s">
        <v>27</v>
      </c>
      <c r="J1232" s="4" t="s">
        <v>19</v>
      </c>
      <c r="K1232" s="4" t="s">
        <v>24</v>
      </c>
      <c r="L1232" s="9">
        <v>45076</v>
      </c>
      <c r="M1232" s="9" t="str">
        <f>TEXT(Source_data[[#This Row],[Listing_Date]],"mmm-yy")</f>
        <v>May-23</v>
      </c>
      <c r="N1232" s="4">
        <f t="shared" si="19"/>
        <v>19567.704607046071</v>
      </c>
      <c r="O1232" s="3" cm="1">
        <f t="array" ref="O1232">_xlfn.IFS(AND(K1232="Broker",J1232="Resale"),F1232*0.5,AND(K1232="Owner",J1232="Resale"),F1232*0,AND(K1232="Builder",J1232="Resale"),F1232*0.3,AND(J1232="New",K1232="Broker"),F1232*0.1,AND(J1232="New",K1232="Owner"),F1232*0,AND(J1232="New",K1232="Builder"),F1232*0.5)</f>
        <v>3610241.5</v>
      </c>
    </row>
    <row r="1233" spans="1:15" x14ac:dyDescent="0.3">
      <c r="A1233" s="8" t="s">
        <v>1316</v>
      </c>
      <c r="B1233" s="4" t="s">
        <v>1286</v>
      </c>
      <c r="C1233" s="4" t="s">
        <v>1289</v>
      </c>
      <c r="D1233" s="4">
        <v>1</v>
      </c>
      <c r="E1233" s="4">
        <v>558</v>
      </c>
      <c r="F1233" s="4">
        <v>12763613</v>
      </c>
      <c r="G1233" s="4">
        <v>2</v>
      </c>
      <c r="H1233" s="4">
        <v>2</v>
      </c>
      <c r="I1233" s="4" t="s">
        <v>8</v>
      </c>
      <c r="J1233" s="4" t="s">
        <v>23</v>
      </c>
      <c r="K1233" s="4" t="s">
        <v>24</v>
      </c>
      <c r="L1233" s="9">
        <v>45718</v>
      </c>
      <c r="M1233" s="9" t="str">
        <f>TEXT(Source_data[[#This Row],[Listing_Date]],"mmm-yy")</f>
        <v>Mar-25</v>
      </c>
      <c r="N1233" s="4">
        <f t="shared" si="19"/>
        <v>22873.858422939069</v>
      </c>
      <c r="O1233" s="3" cm="1">
        <f t="array" ref="O1233">_xlfn.IFS(AND(K1233="Broker",J1233="Resale"),F1233*0.5,AND(K1233="Owner",J1233="Resale"),F1233*0,AND(K1233="Builder",J1233="Resale"),F1233*0.3,AND(J1233="New",K1233="Broker"),F1233*0.1,AND(J1233="New",K1233="Owner"),F1233*0,AND(J1233="New",K1233="Builder"),F1233*0.5)</f>
        <v>3829083.9</v>
      </c>
    </row>
    <row r="1234" spans="1:15" x14ac:dyDescent="0.3">
      <c r="A1234" s="8" t="s">
        <v>1317</v>
      </c>
      <c r="B1234" s="4" t="s">
        <v>1286</v>
      </c>
      <c r="C1234" s="4" t="s">
        <v>1287</v>
      </c>
      <c r="D1234" s="4">
        <v>1</v>
      </c>
      <c r="E1234" s="4">
        <v>641</v>
      </c>
      <c r="F1234" s="4">
        <v>12472341</v>
      </c>
      <c r="G1234" s="4">
        <v>1</v>
      </c>
      <c r="H1234" s="4">
        <v>3</v>
      </c>
      <c r="I1234" s="4" t="s">
        <v>8</v>
      </c>
      <c r="J1234" s="4" t="s">
        <v>19</v>
      </c>
      <c r="K1234" s="4" t="s">
        <v>36</v>
      </c>
      <c r="L1234" s="9">
        <v>45392</v>
      </c>
      <c r="M1234" s="9" t="str">
        <f>TEXT(Source_data[[#This Row],[Listing_Date]],"mmm-yy")</f>
        <v>Apr-24</v>
      </c>
      <c r="N1234" s="4">
        <f t="shared" si="19"/>
        <v>19457.63026521061</v>
      </c>
      <c r="O1234" s="3" cm="1">
        <f t="array" ref="O1234">_xlfn.IFS(AND(K1234="Broker",J1234="Resale"),F1234*0.5,AND(K1234="Owner",J1234="Resale"),F1234*0,AND(K1234="Builder",J1234="Resale"),F1234*0.3,AND(J1234="New",K1234="Broker"),F1234*0.1,AND(J1234="New",K1234="Owner"),F1234*0,AND(J1234="New",K1234="Builder"),F1234*0.5)</f>
        <v>0</v>
      </c>
    </row>
    <row r="1235" spans="1:15" x14ac:dyDescent="0.3">
      <c r="A1235" s="8" t="s">
        <v>1318</v>
      </c>
      <c r="B1235" s="4" t="s">
        <v>1286</v>
      </c>
      <c r="C1235" s="4" t="s">
        <v>1305</v>
      </c>
      <c r="D1235" s="4">
        <v>2</v>
      </c>
      <c r="E1235" s="4">
        <v>957</v>
      </c>
      <c r="F1235" s="4">
        <v>15306691</v>
      </c>
      <c r="G1235" s="4">
        <v>2</v>
      </c>
      <c r="H1235" s="4">
        <v>0</v>
      </c>
      <c r="I1235" s="4" t="s">
        <v>18</v>
      </c>
      <c r="J1235" s="4" t="s">
        <v>23</v>
      </c>
      <c r="K1235" s="4" t="s">
        <v>36</v>
      </c>
      <c r="L1235" s="9">
        <v>45312</v>
      </c>
      <c r="M1235" s="9" t="str">
        <f>TEXT(Source_data[[#This Row],[Listing_Date]],"mmm-yy")</f>
        <v>Jan-24</v>
      </c>
      <c r="N1235" s="4">
        <f t="shared" si="19"/>
        <v>15994.452455590386</v>
      </c>
      <c r="O1235" s="3" cm="1">
        <f t="array" ref="O1235">_xlfn.IFS(AND(K1235="Broker",J1235="Resale"),F1235*0.5,AND(K1235="Owner",J1235="Resale"),F1235*0,AND(K1235="Builder",J1235="Resale"),F1235*0.3,AND(J1235="New",K1235="Broker"),F1235*0.1,AND(J1235="New",K1235="Owner"),F1235*0,AND(J1235="New",K1235="Builder"),F1235*0.5)</f>
        <v>0</v>
      </c>
    </row>
    <row r="1236" spans="1:15" x14ac:dyDescent="0.3">
      <c r="A1236" s="8" t="s">
        <v>1319</v>
      </c>
      <c r="B1236" s="4" t="s">
        <v>1286</v>
      </c>
      <c r="C1236" s="4" t="s">
        <v>1287</v>
      </c>
      <c r="D1236" s="4">
        <v>2</v>
      </c>
      <c r="E1236" s="4">
        <v>715</v>
      </c>
      <c r="F1236" s="4">
        <v>16722815</v>
      </c>
      <c r="G1236" s="4">
        <v>2</v>
      </c>
      <c r="H1236" s="4">
        <v>2</v>
      </c>
      <c r="I1236" s="4" t="s">
        <v>8</v>
      </c>
      <c r="J1236" s="4" t="s">
        <v>23</v>
      </c>
      <c r="K1236" s="4" t="s">
        <v>36</v>
      </c>
      <c r="L1236" s="9">
        <v>45512</v>
      </c>
      <c r="M1236" s="9" t="str">
        <f>TEXT(Source_data[[#This Row],[Listing_Date]],"mmm-yy")</f>
        <v>Aug-24</v>
      </c>
      <c r="N1236" s="4">
        <f t="shared" si="19"/>
        <v>23388.552447552447</v>
      </c>
      <c r="O1236" s="3" cm="1">
        <f t="array" ref="O1236">_xlfn.IFS(AND(K1236="Broker",J1236="Resale"),F1236*0.5,AND(K1236="Owner",J1236="Resale"),F1236*0,AND(K1236="Builder",J1236="Resale"),F1236*0.3,AND(J1236="New",K1236="Broker"),F1236*0.1,AND(J1236="New",K1236="Owner"),F1236*0,AND(J1236="New",K1236="Builder"),F1236*0.5)</f>
        <v>0</v>
      </c>
    </row>
    <row r="1237" spans="1:15" x14ac:dyDescent="0.3">
      <c r="A1237" s="8" t="s">
        <v>1320</v>
      </c>
      <c r="B1237" s="4" t="s">
        <v>1286</v>
      </c>
      <c r="C1237" s="4" t="s">
        <v>1293</v>
      </c>
      <c r="D1237" s="4">
        <v>3</v>
      </c>
      <c r="E1237" s="4">
        <v>1794</v>
      </c>
      <c r="F1237" s="4">
        <v>38571773</v>
      </c>
      <c r="G1237" s="4">
        <v>4</v>
      </c>
      <c r="H1237" s="4">
        <v>2</v>
      </c>
      <c r="I1237" s="4" t="s">
        <v>8</v>
      </c>
      <c r="J1237" s="4" t="s">
        <v>23</v>
      </c>
      <c r="K1237" s="4" t="s">
        <v>36</v>
      </c>
      <c r="L1237" s="9">
        <v>45804</v>
      </c>
      <c r="M1237" s="9" t="str">
        <f>TEXT(Source_data[[#This Row],[Listing_Date]],"mmm-yy")</f>
        <v>May-25</v>
      </c>
      <c r="N1237" s="4">
        <f t="shared" si="19"/>
        <v>21500.430880713491</v>
      </c>
      <c r="O1237" s="3" cm="1">
        <f t="array" ref="O1237">_xlfn.IFS(AND(K1237="Broker",J1237="Resale"),F1237*0.5,AND(K1237="Owner",J1237="Resale"),F1237*0,AND(K1237="Builder",J1237="Resale"),F1237*0.3,AND(J1237="New",K1237="Broker"),F1237*0.1,AND(J1237="New",K1237="Owner"),F1237*0,AND(J1237="New",K1237="Builder"),F1237*0.5)</f>
        <v>0</v>
      </c>
    </row>
    <row r="1238" spans="1:15" x14ac:dyDescent="0.3">
      <c r="A1238" s="8" t="s">
        <v>1321</v>
      </c>
      <c r="B1238" s="4" t="s">
        <v>1286</v>
      </c>
      <c r="C1238" s="4" t="s">
        <v>1287</v>
      </c>
      <c r="D1238" s="4">
        <v>3</v>
      </c>
      <c r="E1238" s="4">
        <v>1137</v>
      </c>
      <c r="F1238" s="4">
        <v>13473120</v>
      </c>
      <c r="G1238" s="4">
        <v>3</v>
      </c>
      <c r="H1238" s="4">
        <v>3</v>
      </c>
      <c r="I1238" s="4" t="s">
        <v>27</v>
      </c>
      <c r="J1238" s="4" t="s">
        <v>23</v>
      </c>
      <c r="K1238" s="4" t="s">
        <v>24</v>
      </c>
      <c r="L1238" s="9">
        <v>44980</v>
      </c>
      <c r="M1238" s="9" t="str">
        <f>TEXT(Source_data[[#This Row],[Listing_Date]],"mmm-yy")</f>
        <v>Feb-23</v>
      </c>
      <c r="N1238" s="4">
        <f t="shared" si="19"/>
        <v>11849.709762532981</v>
      </c>
      <c r="O1238" s="3" cm="1">
        <f t="array" ref="O1238">_xlfn.IFS(AND(K1238="Broker",J1238="Resale"),F1238*0.5,AND(K1238="Owner",J1238="Resale"),F1238*0,AND(K1238="Builder",J1238="Resale"),F1238*0.3,AND(J1238="New",K1238="Broker"),F1238*0.1,AND(J1238="New",K1238="Owner"),F1238*0,AND(J1238="New",K1238="Builder"),F1238*0.5)</f>
        <v>4041936</v>
      </c>
    </row>
    <row r="1239" spans="1:15" x14ac:dyDescent="0.3">
      <c r="A1239" s="8" t="s">
        <v>1322</v>
      </c>
      <c r="B1239" s="4" t="s">
        <v>1286</v>
      </c>
      <c r="C1239" s="4" t="s">
        <v>1289</v>
      </c>
      <c r="D1239" s="4">
        <v>4</v>
      </c>
      <c r="E1239" s="4">
        <v>1939</v>
      </c>
      <c r="F1239" s="4">
        <v>21242943</v>
      </c>
      <c r="G1239" s="4">
        <v>2</v>
      </c>
      <c r="H1239" s="4">
        <v>1</v>
      </c>
      <c r="I1239" s="4" t="s">
        <v>8</v>
      </c>
      <c r="J1239" s="4" t="s">
        <v>19</v>
      </c>
      <c r="K1239" s="4" t="s">
        <v>20</v>
      </c>
      <c r="L1239" s="9">
        <v>45819</v>
      </c>
      <c r="M1239" s="9" t="str">
        <f>TEXT(Source_data[[#This Row],[Listing_Date]],"mmm-yy")</f>
        <v>Jun-25</v>
      </c>
      <c r="N1239" s="4">
        <f t="shared" si="19"/>
        <v>10955.617844249613</v>
      </c>
      <c r="O1239" s="3" cm="1">
        <f t="array" ref="O1239">_xlfn.IFS(AND(K1239="Broker",J1239="Resale"),F1239*0.5,AND(K1239="Owner",J1239="Resale"),F1239*0,AND(K1239="Builder",J1239="Resale"),F1239*0.3,AND(J1239="New",K1239="Broker"),F1239*0.1,AND(J1239="New",K1239="Owner"),F1239*0,AND(J1239="New",K1239="Builder"),F1239*0.5)</f>
        <v>2124294.3000000003</v>
      </c>
    </row>
    <row r="1240" spans="1:15" x14ac:dyDescent="0.3">
      <c r="A1240" s="8" t="s">
        <v>1323</v>
      </c>
      <c r="B1240" s="4" t="s">
        <v>1286</v>
      </c>
      <c r="C1240" s="4" t="s">
        <v>1289</v>
      </c>
      <c r="D1240" s="4">
        <v>2</v>
      </c>
      <c r="E1240" s="4">
        <v>873</v>
      </c>
      <c r="F1240" s="4">
        <v>26801162</v>
      </c>
      <c r="G1240" s="4">
        <v>2</v>
      </c>
      <c r="H1240" s="4">
        <v>1</v>
      </c>
      <c r="I1240" s="4" t="s">
        <v>8</v>
      </c>
      <c r="J1240" s="4" t="s">
        <v>23</v>
      </c>
      <c r="K1240" s="4" t="s">
        <v>36</v>
      </c>
      <c r="L1240" s="9">
        <v>45767</v>
      </c>
      <c r="M1240" s="9" t="str">
        <f>TEXT(Source_data[[#This Row],[Listing_Date]],"mmm-yy")</f>
        <v>Apr-25</v>
      </c>
      <c r="N1240" s="4">
        <f t="shared" si="19"/>
        <v>30700.071019473082</v>
      </c>
      <c r="O1240" s="3" cm="1">
        <f t="array" ref="O1240">_xlfn.IFS(AND(K1240="Broker",J1240="Resale"),F1240*0.5,AND(K1240="Owner",J1240="Resale"),F1240*0,AND(K1240="Builder",J1240="Resale"),F1240*0.3,AND(J1240="New",K1240="Broker"),F1240*0.1,AND(J1240="New",K1240="Owner"),F1240*0,AND(J1240="New",K1240="Builder"),F1240*0.5)</f>
        <v>0</v>
      </c>
    </row>
    <row r="1241" spans="1:15" x14ac:dyDescent="0.3">
      <c r="A1241" s="8" t="s">
        <v>1324</v>
      </c>
      <c r="B1241" s="4" t="s">
        <v>1286</v>
      </c>
      <c r="C1241" s="4" t="s">
        <v>1287</v>
      </c>
      <c r="D1241" s="4">
        <v>2</v>
      </c>
      <c r="E1241" s="4">
        <v>396</v>
      </c>
      <c r="F1241" s="4">
        <v>8674929</v>
      </c>
      <c r="G1241" s="4">
        <v>2</v>
      </c>
      <c r="H1241" s="4">
        <v>1</v>
      </c>
      <c r="I1241" s="4" t="s">
        <v>27</v>
      </c>
      <c r="J1241" s="4" t="s">
        <v>23</v>
      </c>
      <c r="K1241" s="4" t="s">
        <v>36</v>
      </c>
      <c r="L1241" s="9">
        <v>45173</v>
      </c>
      <c r="M1241" s="9" t="str">
        <f>TEXT(Source_data[[#This Row],[Listing_Date]],"mmm-yy")</f>
        <v>Sep-23</v>
      </c>
      <c r="N1241" s="4">
        <f t="shared" si="19"/>
        <v>21906.386363636364</v>
      </c>
      <c r="O1241" s="3" cm="1">
        <f t="array" ref="O1241">_xlfn.IFS(AND(K1241="Broker",J1241="Resale"),F1241*0.5,AND(K1241="Owner",J1241="Resale"),F1241*0,AND(K1241="Builder",J1241="Resale"),F1241*0.3,AND(J1241="New",K1241="Broker"),F1241*0.1,AND(J1241="New",K1241="Owner"),F1241*0,AND(J1241="New",K1241="Builder"),F1241*0.5)</f>
        <v>0</v>
      </c>
    </row>
    <row r="1242" spans="1:15" x14ac:dyDescent="0.3">
      <c r="A1242" s="8" t="s">
        <v>1325</v>
      </c>
      <c r="B1242" s="4" t="s">
        <v>1286</v>
      </c>
      <c r="C1242" s="4" t="s">
        <v>1305</v>
      </c>
      <c r="D1242" s="4">
        <v>2</v>
      </c>
      <c r="E1242" s="4">
        <v>1260</v>
      </c>
      <c r="F1242" s="4">
        <v>33306551</v>
      </c>
      <c r="G1242" s="4">
        <v>2</v>
      </c>
      <c r="H1242" s="4">
        <v>2</v>
      </c>
      <c r="I1242" s="4" t="s">
        <v>8</v>
      </c>
      <c r="J1242" s="4" t="s">
        <v>23</v>
      </c>
      <c r="K1242" s="4" t="s">
        <v>24</v>
      </c>
      <c r="L1242" s="9">
        <v>45405</v>
      </c>
      <c r="M1242" s="9" t="str">
        <f>TEXT(Source_data[[#This Row],[Listing_Date]],"mmm-yy")</f>
        <v>Apr-24</v>
      </c>
      <c r="N1242" s="4">
        <f t="shared" si="19"/>
        <v>26433.770634920635</v>
      </c>
      <c r="O1242" s="3" cm="1">
        <f t="array" ref="O1242">_xlfn.IFS(AND(K1242="Broker",J1242="Resale"),F1242*0.5,AND(K1242="Owner",J1242="Resale"),F1242*0,AND(K1242="Builder",J1242="Resale"),F1242*0.3,AND(J1242="New",K1242="Broker"),F1242*0.1,AND(J1242="New",K1242="Owner"),F1242*0,AND(J1242="New",K1242="Builder"),F1242*0.5)</f>
        <v>9991965.2999999989</v>
      </c>
    </row>
    <row r="1243" spans="1:15" x14ac:dyDescent="0.3">
      <c r="A1243" s="8" t="s">
        <v>1326</v>
      </c>
      <c r="B1243" s="4" t="s">
        <v>1286</v>
      </c>
      <c r="C1243" s="4" t="s">
        <v>1293</v>
      </c>
      <c r="D1243" s="4">
        <v>2</v>
      </c>
      <c r="E1243" s="4">
        <v>1022</v>
      </c>
      <c r="F1243" s="4">
        <v>18933290</v>
      </c>
      <c r="G1243" s="4">
        <v>2</v>
      </c>
      <c r="H1243" s="4">
        <v>1</v>
      </c>
      <c r="I1243" s="4" t="s">
        <v>18</v>
      </c>
      <c r="J1243" s="4" t="s">
        <v>19</v>
      </c>
      <c r="K1243" s="4" t="s">
        <v>20</v>
      </c>
      <c r="L1243" s="9">
        <v>45853</v>
      </c>
      <c r="M1243" s="9" t="str">
        <f>TEXT(Source_data[[#This Row],[Listing_Date]],"mmm-yy")</f>
        <v>Jul-25</v>
      </c>
      <c r="N1243" s="4">
        <f t="shared" si="19"/>
        <v>18525.724070450098</v>
      </c>
      <c r="O1243" s="3" cm="1">
        <f t="array" ref="O1243">_xlfn.IFS(AND(K1243="Broker",J1243="Resale"),F1243*0.5,AND(K1243="Owner",J1243="Resale"),F1243*0,AND(K1243="Builder",J1243="Resale"),F1243*0.3,AND(J1243="New",K1243="Broker"),F1243*0.1,AND(J1243="New",K1243="Owner"),F1243*0,AND(J1243="New",K1243="Builder"),F1243*0.5)</f>
        <v>1893329</v>
      </c>
    </row>
    <row r="1244" spans="1:15" x14ac:dyDescent="0.3">
      <c r="A1244" s="8" t="s">
        <v>1327</v>
      </c>
      <c r="B1244" s="4" t="s">
        <v>1286</v>
      </c>
      <c r="C1244" s="4" t="s">
        <v>1293</v>
      </c>
      <c r="D1244" s="4">
        <v>5</v>
      </c>
      <c r="E1244" s="4">
        <v>2925</v>
      </c>
      <c r="F1244" s="4">
        <v>74686645</v>
      </c>
      <c r="G1244" s="4">
        <v>3</v>
      </c>
      <c r="H1244" s="4">
        <v>3</v>
      </c>
      <c r="I1244" s="4" t="s">
        <v>18</v>
      </c>
      <c r="J1244" s="4" t="s">
        <v>23</v>
      </c>
      <c r="K1244" s="4" t="s">
        <v>20</v>
      </c>
      <c r="L1244" s="9">
        <v>45159</v>
      </c>
      <c r="M1244" s="9" t="str">
        <f>TEXT(Source_data[[#This Row],[Listing_Date]],"mmm-yy")</f>
        <v>Aug-23</v>
      </c>
      <c r="N1244" s="4">
        <f t="shared" si="19"/>
        <v>25533.895726495728</v>
      </c>
      <c r="O1244" s="3" cm="1">
        <f t="array" ref="O1244">_xlfn.IFS(AND(K1244="Broker",J1244="Resale"),F1244*0.5,AND(K1244="Owner",J1244="Resale"),F1244*0,AND(K1244="Builder",J1244="Resale"),F1244*0.3,AND(J1244="New",K1244="Broker"),F1244*0.1,AND(J1244="New",K1244="Owner"),F1244*0,AND(J1244="New",K1244="Builder"),F1244*0.5)</f>
        <v>37343322.5</v>
      </c>
    </row>
    <row r="1245" spans="1:15" x14ac:dyDescent="0.3">
      <c r="A1245" s="8" t="s">
        <v>1328</v>
      </c>
      <c r="B1245" s="4" t="s">
        <v>1286</v>
      </c>
      <c r="C1245" s="4" t="s">
        <v>1293</v>
      </c>
      <c r="D1245" s="4">
        <v>1</v>
      </c>
      <c r="E1245" s="4">
        <v>748</v>
      </c>
      <c r="F1245" s="4">
        <v>13868688</v>
      </c>
      <c r="G1245" s="4">
        <v>1</v>
      </c>
      <c r="H1245" s="4">
        <v>3</v>
      </c>
      <c r="I1245" s="4" t="s">
        <v>8</v>
      </c>
      <c r="J1245" s="4" t="s">
        <v>23</v>
      </c>
      <c r="K1245" s="4" t="s">
        <v>20</v>
      </c>
      <c r="L1245" s="9">
        <v>45365</v>
      </c>
      <c r="M1245" s="9" t="str">
        <f>TEXT(Source_data[[#This Row],[Listing_Date]],"mmm-yy")</f>
        <v>Mar-24</v>
      </c>
      <c r="N1245" s="4">
        <f t="shared" si="19"/>
        <v>18541.026737967914</v>
      </c>
      <c r="O1245" s="3" cm="1">
        <f t="array" ref="O1245">_xlfn.IFS(AND(K1245="Broker",J1245="Resale"),F1245*0.5,AND(K1245="Owner",J1245="Resale"),F1245*0,AND(K1245="Builder",J1245="Resale"),F1245*0.3,AND(J1245="New",K1245="Broker"),F1245*0.1,AND(J1245="New",K1245="Owner"),F1245*0,AND(J1245="New",K1245="Builder"),F1245*0.5)</f>
        <v>6934344</v>
      </c>
    </row>
    <row r="1246" spans="1:15" x14ac:dyDescent="0.3">
      <c r="A1246" s="8" t="s">
        <v>1329</v>
      </c>
      <c r="B1246" s="4" t="s">
        <v>1286</v>
      </c>
      <c r="C1246" s="4" t="s">
        <v>1293</v>
      </c>
      <c r="D1246" s="4">
        <v>3</v>
      </c>
      <c r="E1246" s="4">
        <v>1629</v>
      </c>
      <c r="F1246" s="4">
        <v>39116805</v>
      </c>
      <c r="G1246" s="4">
        <v>4</v>
      </c>
      <c r="H1246" s="4">
        <v>2</v>
      </c>
      <c r="I1246" s="4" t="s">
        <v>8</v>
      </c>
      <c r="J1246" s="4" t="s">
        <v>23</v>
      </c>
      <c r="K1246" s="4" t="s">
        <v>20</v>
      </c>
      <c r="L1246" s="9">
        <v>45541</v>
      </c>
      <c r="M1246" s="9" t="str">
        <f>TEXT(Source_data[[#This Row],[Listing_Date]],"mmm-yy")</f>
        <v>Sep-24</v>
      </c>
      <c r="N1246" s="4">
        <f t="shared" si="19"/>
        <v>24012.771639042356</v>
      </c>
      <c r="O1246" s="3" cm="1">
        <f t="array" ref="O1246">_xlfn.IFS(AND(K1246="Broker",J1246="Resale"),F1246*0.5,AND(K1246="Owner",J1246="Resale"),F1246*0,AND(K1246="Builder",J1246="Resale"),F1246*0.3,AND(J1246="New",K1246="Broker"),F1246*0.1,AND(J1246="New",K1246="Owner"),F1246*0,AND(J1246="New",K1246="Builder"),F1246*0.5)</f>
        <v>19558402.5</v>
      </c>
    </row>
    <row r="1247" spans="1:15" x14ac:dyDescent="0.3">
      <c r="A1247" s="8" t="s">
        <v>1330</v>
      </c>
      <c r="B1247" s="4" t="s">
        <v>1286</v>
      </c>
      <c r="C1247" s="4" t="s">
        <v>1287</v>
      </c>
      <c r="D1247" s="4">
        <v>3</v>
      </c>
      <c r="E1247" s="4">
        <v>1279</v>
      </c>
      <c r="F1247" s="4">
        <v>24943887</v>
      </c>
      <c r="G1247" s="4">
        <v>3</v>
      </c>
      <c r="H1247" s="4">
        <v>1</v>
      </c>
      <c r="I1247" s="4" t="s">
        <v>8</v>
      </c>
      <c r="J1247" s="4" t="s">
        <v>23</v>
      </c>
      <c r="K1247" s="4" t="s">
        <v>24</v>
      </c>
      <c r="L1247" s="9">
        <v>45066</v>
      </c>
      <c r="M1247" s="9" t="str">
        <f>TEXT(Source_data[[#This Row],[Listing_Date]],"mmm-yy")</f>
        <v>May-23</v>
      </c>
      <c r="N1247" s="4">
        <f t="shared" si="19"/>
        <v>19502.648162627051</v>
      </c>
      <c r="O1247" s="3" cm="1">
        <f t="array" ref="O1247">_xlfn.IFS(AND(K1247="Broker",J1247="Resale"),F1247*0.5,AND(K1247="Owner",J1247="Resale"),F1247*0,AND(K1247="Builder",J1247="Resale"),F1247*0.3,AND(J1247="New",K1247="Broker"),F1247*0.1,AND(J1247="New",K1247="Owner"),F1247*0,AND(J1247="New",K1247="Builder"),F1247*0.5)</f>
        <v>7483166.0999999996</v>
      </c>
    </row>
    <row r="1248" spans="1:15" x14ac:dyDescent="0.3">
      <c r="A1248" s="8" t="s">
        <v>1331</v>
      </c>
      <c r="B1248" s="4" t="s">
        <v>1286</v>
      </c>
      <c r="C1248" s="4" t="s">
        <v>1291</v>
      </c>
      <c r="D1248" s="4">
        <v>3</v>
      </c>
      <c r="E1248" s="4">
        <v>1330</v>
      </c>
      <c r="F1248" s="4">
        <v>33096965</v>
      </c>
      <c r="G1248" s="4">
        <v>3</v>
      </c>
      <c r="H1248" s="4">
        <v>2</v>
      </c>
      <c r="I1248" s="4" t="s">
        <v>8</v>
      </c>
      <c r="J1248" s="4" t="s">
        <v>23</v>
      </c>
      <c r="K1248" s="4" t="s">
        <v>24</v>
      </c>
      <c r="L1248" s="9">
        <v>45840</v>
      </c>
      <c r="M1248" s="9" t="str">
        <f>TEXT(Source_data[[#This Row],[Listing_Date]],"mmm-yy")</f>
        <v>Jul-25</v>
      </c>
      <c r="N1248" s="4">
        <f t="shared" si="19"/>
        <v>24884.936090225565</v>
      </c>
      <c r="O1248" s="3" cm="1">
        <f t="array" ref="O1248">_xlfn.IFS(AND(K1248="Broker",J1248="Resale"),F1248*0.5,AND(K1248="Owner",J1248="Resale"),F1248*0,AND(K1248="Builder",J1248="Resale"),F1248*0.3,AND(J1248="New",K1248="Broker"),F1248*0.1,AND(J1248="New",K1248="Owner"),F1248*0,AND(J1248="New",K1248="Builder"),F1248*0.5)</f>
        <v>9929089.5</v>
      </c>
    </row>
    <row r="1249" spans="1:15" x14ac:dyDescent="0.3">
      <c r="A1249" s="8" t="s">
        <v>1332</v>
      </c>
      <c r="B1249" s="4" t="s">
        <v>1286</v>
      </c>
      <c r="C1249" s="4" t="s">
        <v>1299</v>
      </c>
      <c r="D1249" s="4">
        <v>2</v>
      </c>
      <c r="E1249" s="4">
        <v>850</v>
      </c>
      <c r="F1249" s="4">
        <v>20265340</v>
      </c>
      <c r="G1249" s="4">
        <v>2</v>
      </c>
      <c r="H1249" s="4">
        <v>2</v>
      </c>
      <c r="I1249" s="4" t="s">
        <v>8</v>
      </c>
      <c r="J1249" s="4" t="s">
        <v>19</v>
      </c>
      <c r="K1249" s="4" t="s">
        <v>24</v>
      </c>
      <c r="L1249" s="9">
        <v>45736</v>
      </c>
      <c r="M1249" s="9" t="str">
        <f>TEXT(Source_data[[#This Row],[Listing_Date]],"mmm-yy")</f>
        <v>Mar-25</v>
      </c>
      <c r="N1249" s="4">
        <f t="shared" si="19"/>
        <v>23841.576470588236</v>
      </c>
      <c r="O1249" s="3" cm="1">
        <f t="array" ref="O1249">_xlfn.IFS(AND(K1249="Broker",J1249="Resale"),F1249*0.5,AND(K1249="Owner",J1249="Resale"),F1249*0,AND(K1249="Builder",J1249="Resale"),F1249*0.3,AND(J1249="New",K1249="Broker"),F1249*0.1,AND(J1249="New",K1249="Owner"),F1249*0,AND(J1249="New",K1249="Builder"),F1249*0.5)</f>
        <v>10132670</v>
      </c>
    </row>
    <row r="1250" spans="1:15" x14ac:dyDescent="0.3">
      <c r="A1250" s="8" t="s">
        <v>1333</v>
      </c>
      <c r="B1250" s="4" t="s">
        <v>1286</v>
      </c>
      <c r="C1250" s="4" t="s">
        <v>1299</v>
      </c>
      <c r="D1250" s="4">
        <v>4</v>
      </c>
      <c r="E1250" s="4">
        <v>1995</v>
      </c>
      <c r="F1250" s="4">
        <v>46865697</v>
      </c>
      <c r="G1250" s="4">
        <v>2</v>
      </c>
      <c r="H1250" s="4">
        <v>2</v>
      </c>
      <c r="I1250" s="4" t="s">
        <v>27</v>
      </c>
      <c r="J1250" s="4" t="s">
        <v>23</v>
      </c>
      <c r="K1250" s="4" t="s">
        <v>24</v>
      </c>
      <c r="L1250" s="9">
        <v>45905</v>
      </c>
      <c r="M1250" s="9" t="str">
        <f>TEXT(Source_data[[#This Row],[Listing_Date]],"mmm-yy")</f>
        <v>Sep-25</v>
      </c>
      <c r="N1250" s="4">
        <f t="shared" si="19"/>
        <v>23491.577443609021</v>
      </c>
      <c r="O1250" s="3" cm="1">
        <f t="array" ref="O1250">_xlfn.IFS(AND(K1250="Broker",J1250="Resale"),F1250*0.5,AND(K1250="Owner",J1250="Resale"),F1250*0,AND(K1250="Builder",J1250="Resale"),F1250*0.3,AND(J1250="New",K1250="Broker"),F1250*0.1,AND(J1250="New",K1250="Owner"),F1250*0,AND(J1250="New",K1250="Builder"),F1250*0.5)</f>
        <v>14059709.1</v>
      </c>
    </row>
    <row r="1251" spans="1:15" x14ac:dyDescent="0.3">
      <c r="A1251" s="8" t="s">
        <v>1334</v>
      </c>
      <c r="B1251" s="4" t="s">
        <v>1286</v>
      </c>
      <c r="C1251" s="4" t="s">
        <v>1299</v>
      </c>
      <c r="D1251" s="4">
        <v>3</v>
      </c>
      <c r="E1251" s="4">
        <v>1202</v>
      </c>
      <c r="F1251" s="4">
        <v>31462901</v>
      </c>
      <c r="G1251" s="4">
        <v>3</v>
      </c>
      <c r="H1251" s="4">
        <v>3</v>
      </c>
      <c r="I1251" s="4" t="s">
        <v>27</v>
      </c>
      <c r="J1251" s="4" t="s">
        <v>23</v>
      </c>
      <c r="K1251" s="4" t="s">
        <v>20</v>
      </c>
      <c r="L1251" s="9">
        <v>45234</v>
      </c>
      <c r="M1251" s="9" t="str">
        <f>TEXT(Source_data[[#This Row],[Listing_Date]],"mmm-yy")</f>
        <v>Nov-23</v>
      </c>
      <c r="N1251" s="4">
        <f t="shared" si="19"/>
        <v>26175.458402662229</v>
      </c>
      <c r="O1251" s="3" cm="1">
        <f t="array" ref="O1251">_xlfn.IFS(AND(K1251="Broker",J1251="Resale"),F1251*0.5,AND(K1251="Owner",J1251="Resale"),F1251*0,AND(K1251="Builder",J1251="Resale"),F1251*0.3,AND(J1251="New",K1251="Broker"),F1251*0.1,AND(J1251="New",K1251="Owner"),F1251*0,AND(J1251="New",K1251="Builder"),F1251*0.5)</f>
        <v>15731450.5</v>
      </c>
    </row>
    <row r="1252" spans="1:15" x14ac:dyDescent="0.3">
      <c r="A1252" s="8" t="s">
        <v>1335</v>
      </c>
      <c r="B1252" s="4" t="s">
        <v>1286</v>
      </c>
      <c r="C1252" s="4" t="s">
        <v>1293</v>
      </c>
      <c r="D1252" s="4">
        <v>2</v>
      </c>
      <c r="E1252" s="4">
        <v>1009</v>
      </c>
      <c r="F1252" s="4">
        <v>27089106</v>
      </c>
      <c r="G1252" s="4">
        <v>2</v>
      </c>
      <c r="H1252" s="4">
        <v>3</v>
      </c>
      <c r="I1252" s="4" t="s">
        <v>27</v>
      </c>
      <c r="J1252" s="4" t="s">
        <v>23</v>
      </c>
      <c r="K1252" s="4" t="s">
        <v>20</v>
      </c>
      <c r="L1252" s="9">
        <v>45088</v>
      </c>
      <c r="M1252" s="9" t="str">
        <f>TEXT(Source_data[[#This Row],[Listing_Date]],"mmm-yy")</f>
        <v>Jun-23</v>
      </c>
      <c r="N1252" s="4">
        <f t="shared" si="19"/>
        <v>26847.478691774035</v>
      </c>
      <c r="O1252" s="3" cm="1">
        <f t="array" ref="O1252">_xlfn.IFS(AND(K1252="Broker",J1252="Resale"),F1252*0.5,AND(K1252="Owner",J1252="Resale"),F1252*0,AND(K1252="Builder",J1252="Resale"),F1252*0.3,AND(J1252="New",K1252="Broker"),F1252*0.1,AND(J1252="New",K1252="Owner"),F1252*0,AND(J1252="New",K1252="Builder"),F1252*0.5)</f>
        <v>13544553</v>
      </c>
    </row>
    <row r="1253" spans="1:15" x14ac:dyDescent="0.3">
      <c r="A1253" s="8" t="s">
        <v>1336</v>
      </c>
      <c r="B1253" s="4" t="s">
        <v>1286</v>
      </c>
      <c r="C1253" s="4" t="s">
        <v>1293</v>
      </c>
      <c r="D1253" s="4">
        <v>3</v>
      </c>
      <c r="E1253" s="4">
        <v>1222</v>
      </c>
      <c r="F1253" s="4">
        <v>29525067</v>
      </c>
      <c r="G1253" s="4">
        <v>3</v>
      </c>
      <c r="H1253" s="4">
        <v>1</v>
      </c>
      <c r="I1253" s="4" t="s">
        <v>18</v>
      </c>
      <c r="J1253" s="4" t="s">
        <v>19</v>
      </c>
      <c r="K1253" s="4" t="s">
        <v>36</v>
      </c>
      <c r="L1253" s="9">
        <v>45709</v>
      </c>
      <c r="M1253" s="9" t="str">
        <f>TEXT(Source_data[[#This Row],[Listing_Date]],"mmm-yy")</f>
        <v>Feb-25</v>
      </c>
      <c r="N1253" s="4">
        <f t="shared" si="19"/>
        <v>24161.265957446809</v>
      </c>
      <c r="O1253" s="3" cm="1">
        <f t="array" ref="O1253">_xlfn.IFS(AND(K1253="Broker",J1253="Resale"),F1253*0.5,AND(K1253="Owner",J1253="Resale"),F1253*0,AND(K1253="Builder",J1253="Resale"),F1253*0.3,AND(J1253="New",K1253="Broker"),F1253*0.1,AND(J1253="New",K1253="Owner"),F1253*0,AND(J1253="New",K1253="Builder"),F1253*0.5)</f>
        <v>0</v>
      </c>
    </row>
    <row r="1254" spans="1:15" x14ac:dyDescent="0.3">
      <c r="A1254" s="8" t="s">
        <v>1337</v>
      </c>
      <c r="B1254" s="4" t="s">
        <v>1286</v>
      </c>
      <c r="C1254" s="4" t="s">
        <v>1287</v>
      </c>
      <c r="D1254" s="4">
        <v>3</v>
      </c>
      <c r="E1254" s="4">
        <v>1027</v>
      </c>
      <c r="F1254" s="4">
        <v>24648380</v>
      </c>
      <c r="G1254" s="4">
        <v>2</v>
      </c>
      <c r="H1254" s="4">
        <v>1</v>
      </c>
      <c r="I1254" s="4" t="s">
        <v>8</v>
      </c>
      <c r="J1254" s="4" t="s">
        <v>19</v>
      </c>
      <c r="K1254" s="4" t="s">
        <v>36</v>
      </c>
      <c r="L1254" s="9">
        <v>45681</v>
      </c>
      <c r="M1254" s="9" t="str">
        <f>TEXT(Source_data[[#This Row],[Listing_Date]],"mmm-yy")</f>
        <v>Jan-25</v>
      </c>
      <c r="N1254" s="4">
        <f t="shared" si="19"/>
        <v>24000.370009737097</v>
      </c>
      <c r="O1254" s="3" cm="1">
        <f t="array" ref="O1254">_xlfn.IFS(AND(K1254="Broker",J1254="Resale"),F1254*0.5,AND(K1254="Owner",J1254="Resale"),F1254*0,AND(K1254="Builder",J1254="Resale"),F1254*0.3,AND(J1254="New",K1254="Broker"),F1254*0.1,AND(J1254="New",K1254="Owner"),F1254*0,AND(J1254="New",K1254="Builder"),F1254*0.5)</f>
        <v>0</v>
      </c>
    </row>
    <row r="1255" spans="1:15" x14ac:dyDescent="0.3">
      <c r="A1255" s="8" t="s">
        <v>1338</v>
      </c>
      <c r="B1255" s="4" t="s">
        <v>1286</v>
      </c>
      <c r="C1255" s="4" t="s">
        <v>1299</v>
      </c>
      <c r="D1255" s="4">
        <v>1</v>
      </c>
      <c r="E1255" s="4">
        <v>585</v>
      </c>
      <c r="F1255" s="4">
        <v>13901366</v>
      </c>
      <c r="G1255" s="4">
        <v>1</v>
      </c>
      <c r="H1255" s="4">
        <v>1</v>
      </c>
      <c r="I1255" s="4" t="s">
        <v>27</v>
      </c>
      <c r="J1255" s="4" t="s">
        <v>23</v>
      </c>
      <c r="K1255" s="4" t="s">
        <v>20</v>
      </c>
      <c r="L1255" s="9">
        <v>45332</v>
      </c>
      <c r="M1255" s="9" t="str">
        <f>TEXT(Source_data[[#This Row],[Listing_Date]],"mmm-yy")</f>
        <v>Feb-24</v>
      </c>
      <c r="N1255" s="4">
        <f t="shared" si="19"/>
        <v>23763.018803418803</v>
      </c>
      <c r="O1255" s="3" cm="1">
        <f t="array" ref="O1255">_xlfn.IFS(AND(K1255="Broker",J1255="Resale"),F1255*0.5,AND(K1255="Owner",J1255="Resale"),F1255*0,AND(K1255="Builder",J1255="Resale"),F1255*0.3,AND(J1255="New",K1255="Broker"),F1255*0.1,AND(J1255="New",K1255="Owner"),F1255*0,AND(J1255="New",K1255="Builder"),F1255*0.5)</f>
        <v>6950683</v>
      </c>
    </row>
    <row r="1256" spans="1:15" x14ac:dyDescent="0.3">
      <c r="A1256" s="8" t="s">
        <v>1339</v>
      </c>
      <c r="B1256" s="4" t="s">
        <v>1286</v>
      </c>
      <c r="C1256" s="4" t="s">
        <v>1305</v>
      </c>
      <c r="D1256" s="4">
        <v>2</v>
      </c>
      <c r="E1256" s="4">
        <v>1062</v>
      </c>
      <c r="F1256" s="4">
        <v>24272189</v>
      </c>
      <c r="G1256" s="4">
        <v>2</v>
      </c>
      <c r="H1256" s="4">
        <v>0</v>
      </c>
      <c r="I1256" s="4" t="s">
        <v>8</v>
      </c>
      <c r="J1256" s="4" t="s">
        <v>23</v>
      </c>
      <c r="K1256" s="4" t="s">
        <v>24</v>
      </c>
      <c r="L1256" s="9">
        <v>45567</v>
      </c>
      <c r="M1256" s="9" t="str">
        <f>TEXT(Source_data[[#This Row],[Listing_Date]],"mmm-yy")</f>
        <v>Oct-24</v>
      </c>
      <c r="N1256" s="4">
        <f t="shared" si="19"/>
        <v>22855.168549905837</v>
      </c>
      <c r="O1256" s="3" cm="1">
        <f t="array" ref="O1256">_xlfn.IFS(AND(K1256="Broker",J1256="Resale"),F1256*0.5,AND(K1256="Owner",J1256="Resale"),F1256*0,AND(K1256="Builder",J1256="Resale"),F1256*0.3,AND(J1256="New",K1256="Broker"),F1256*0.1,AND(J1256="New",K1256="Owner"),F1256*0,AND(J1256="New",K1256="Builder"),F1256*0.5)</f>
        <v>7281656.7000000002</v>
      </c>
    </row>
    <row r="1257" spans="1:15" x14ac:dyDescent="0.3">
      <c r="A1257" s="8" t="s">
        <v>1340</v>
      </c>
      <c r="B1257" s="4" t="s">
        <v>1286</v>
      </c>
      <c r="C1257" s="4" t="s">
        <v>1289</v>
      </c>
      <c r="D1257" s="4">
        <v>3</v>
      </c>
      <c r="E1257" s="4">
        <v>1299</v>
      </c>
      <c r="F1257" s="4">
        <v>36433678</v>
      </c>
      <c r="G1257" s="4">
        <v>3</v>
      </c>
      <c r="H1257" s="4">
        <v>1</v>
      </c>
      <c r="I1257" s="4" t="s">
        <v>8</v>
      </c>
      <c r="J1257" s="4" t="s">
        <v>19</v>
      </c>
      <c r="K1257" s="4" t="s">
        <v>20</v>
      </c>
      <c r="L1257" s="9">
        <v>45626</v>
      </c>
      <c r="M1257" s="9" t="str">
        <f>TEXT(Source_data[[#This Row],[Listing_Date]],"mmm-yy")</f>
        <v>Nov-24</v>
      </c>
      <c r="N1257" s="4">
        <f t="shared" si="19"/>
        <v>28047.481139337953</v>
      </c>
      <c r="O1257" s="3" cm="1">
        <f t="array" ref="O1257">_xlfn.IFS(AND(K1257="Broker",J1257="Resale"),F1257*0.5,AND(K1257="Owner",J1257="Resale"),F1257*0,AND(K1257="Builder",J1257="Resale"),F1257*0.3,AND(J1257="New",K1257="Broker"),F1257*0.1,AND(J1257="New",K1257="Owner"),F1257*0,AND(J1257="New",K1257="Builder"),F1257*0.5)</f>
        <v>3643367.8000000003</v>
      </c>
    </row>
    <row r="1258" spans="1:15" x14ac:dyDescent="0.3">
      <c r="A1258" s="8" t="s">
        <v>1341</v>
      </c>
      <c r="B1258" s="4" t="s">
        <v>1286</v>
      </c>
      <c r="C1258" s="4" t="s">
        <v>1299</v>
      </c>
      <c r="D1258" s="4">
        <v>4</v>
      </c>
      <c r="E1258" s="4">
        <v>1710</v>
      </c>
      <c r="F1258" s="4">
        <v>30274338</v>
      </c>
      <c r="G1258" s="4">
        <v>3</v>
      </c>
      <c r="H1258" s="4">
        <v>0</v>
      </c>
      <c r="I1258" s="4" t="s">
        <v>18</v>
      </c>
      <c r="J1258" s="4" t="s">
        <v>19</v>
      </c>
      <c r="K1258" s="4" t="s">
        <v>20</v>
      </c>
      <c r="L1258" s="9">
        <v>45245</v>
      </c>
      <c r="M1258" s="9" t="str">
        <f>TEXT(Source_data[[#This Row],[Listing_Date]],"mmm-yy")</f>
        <v>Nov-23</v>
      </c>
      <c r="N1258" s="4">
        <f t="shared" si="19"/>
        <v>17704.291228070175</v>
      </c>
      <c r="O1258" s="3" cm="1">
        <f t="array" ref="O1258">_xlfn.IFS(AND(K1258="Broker",J1258="Resale"),F1258*0.5,AND(K1258="Owner",J1258="Resale"),F1258*0,AND(K1258="Builder",J1258="Resale"),F1258*0.3,AND(J1258="New",K1258="Broker"),F1258*0.1,AND(J1258="New",K1258="Owner"),F1258*0,AND(J1258="New",K1258="Builder"),F1258*0.5)</f>
        <v>3027433.8000000003</v>
      </c>
    </row>
    <row r="1259" spans="1:15" x14ac:dyDescent="0.3">
      <c r="A1259" s="8" t="s">
        <v>1342</v>
      </c>
      <c r="B1259" s="4" t="s">
        <v>1286</v>
      </c>
      <c r="C1259" s="4" t="s">
        <v>1289</v>
      </c>
      <c r="D1259" s="4">
        <v>4</v>
      </c>
      <c r="E1259" s="4">
        <v>2130</v>
      </c>
      <c r="F1259" s="4">
        <v>46647143</v>
      </c>
      <c r="G1259" s="4">
        <v>3</v>
      </c>
      <c r="H1259" s="4">
        <v>1</v>
      </c>
      <c r="I1259" s="4" t="s">
        <v>27</v>
      </c>
      <c r="J1259" s="4" t="s">
        <v>19</v>
      </c>
      <c r="K1259" s="4" t="s">
        <v>24</v>
      </c>
      <c r="L1259" s="9">
        <v>45046</v>
      </c>
      <c r="M1259" s="9" t="str">
        <f>TEXT(Source_data[[#This Row],[Listing_Date]],"mmm-yy")</f>
        <v>Apr-23</v>
      </c>
      <c r="N1259" s="4">
        <f t="shared" si="19"/>
        <v>21900.067136150235</v>
      </c>
      <c r="O1259" s="3" cm="1">
        <f t="array" ref="O1259">_xlfn.IFS(AND(K1259="Broker",J1259="Resale"),F1259*0.5,AND(K1259="Owner",J1259="Resale"),F1259*0,AND(K1259="Builder",J1259="Resale"),F1259*0.3,AND(J1259="New",K1259="Broker"),F1259*0.1,AND(J1259="New",K1259="Owner"),F1259*0,AND(J1259="New",K1259="Builder"),F1259*0.5)</f>
        <v>23323571.5</v>
      </c>
    </row>
    <row r="1260" spans="1:15" x14ac:dyDescent="0.3">
      <c r="A1260" s="8" t="s">
        <v>1343</v>
      </c>
      <c r="B1260" s="4" t="s">
        <v>1286</v>
      </c>
      <c r="C1260" s="4" t="s">
        <v>1293</v>
      </c>
      <c r="D1260" s="4">
        <v>3</v>
      </c>
      <c r="E1260" s="4">
        <v>1514</v>
      </c>
      <c r="F1260" s="4">
        <v>24903635</v>
      </c>
      <c r="G1260" s="4">
        <v>3</v>
      </c>
      <c r="H1260" s="4">
        <v>2</v>
      </c>
      <c r="I1260" s="4" t="s">
        <v>27</v>
      </c>
      <c r="J1260" s="4" t="s">
        <v>23</v>
      </c>
      <c r="K1260" s="4" t="s">
        <v>24</v>
      </c>
      <c r="L1260" s="9">
        <v>45625</v>
      </c>
      <c r="M1260" s="9" t="str">
        <f>TEXT(Source_data[[#This Row],[Listing_Date]],"mmm-yy")</f>
        <v>Nov-24</v>
      </c>
      <c r="N1260" s="4">
        <f t="shared" si="19"/>
        <v>16448.900264200791</v>
      </c>
      <c r="O1260" s="3" cm="1">
        <f t="array" ref="O1260">_xlfn.IFS(AND(K1260="Broker",J1260="Resale"),F1260*0.5,AND(K1260="Owner",J1260="Resale"),F1260*0,AND(K1260="Builder",J1260="Resale"),F1260*0.3,AND(J1260="New",K1260="Broker"),F1260*0.1,AND(J1260="New",K1260="Owner"),F1260*0,AND(J1260="New",K1260="Builder"),F1260*0.5)</f>
        <v>7471090.5</v>
      </c>
    </row>
    <row r="1261" spans="1:15" x14ac:dyDescent="0.3">
      <c r="A1261" s="8" t="s">
        <v>1344</v>
      </c>
      <c r="B1261" s="4" t="s">
        <v>1286</v>
      </c>
      <c r="C1261" s="4" t="s">
        <v>1289</v>
      </c>
      <c r="D1261" s="4">
        <v>4</v>
      </c>
      <c r="E1261" s="4">
        <v>1453</v>
      </c>
      <c r="F1261" s="4">
        <v>23233562</v>
      </c>
      <c r="G1261" s="4">
        <v>3</v>
      </c>
      <c r="H1261" s="4">
        <v>1</v>
      </c>
      <c r="I1261" s="4" t="s">
        <v>27</v>
      </c>
      <c r="J1261" s="4" t="s">
        <v>19</v>
      </c>
      <c r="K1261" s="4" t="s">
        <v>36</v>
      </c>
      <c r="L1261" s="9">
        <v>45184</v>
      </c>
      <c r="M1261" s="9" t="str">
        <f>TEXT(Source_data[[#This Row],[Listing_Date]],"mmm-yy")</f>
        <v>Sep-23</v>
      </c>
      <c r="N1261" s="4">
        <f t="shared" si="19"/>
        <v>15990.063317274604</v>
      </c>
      <c r="O1261" s="3" cm="1">
        <f t="array" ref="O1261">_xlfn.IFS(AND(K1261="Broker",J1261="Resale"),F1261*0.5,AND(K1261="Owner",J1261="Resale"),F1261*0,AND(K1261="Builder",J1261="Resale"),F1261*0.3,AND(J1261="New",K1261="Broker"),F1261*0.1,AND(J1261="New",K1261="Owner"),F1261*0,AND(J1261="New",K1261="Builder"),F1261*0.5)</f>
        <v>0</v>
      </c>
    </row>
    <row r="1262" spans="1:15" x14ac:dyDescent="0.3">
      <c r="A1262" s="8" t="s">
        <v>1345</v>
      </c>
      <c r="B1262" s="4" t="s">
        <v>1286</v>
      </c>
      <c r="C1262" s="4" t="s">
        <v>1305</v>
      </c>
      <c r="D1262" s="4">
        <v>4</v>
      </c>
      <c r="E1262" s="4">
        <v>1054</v>
      </c>
      <c r="F1262" s="4">
        <v>21329927</v>
      </c>
      <c r="G1262" s="4">
        <v>3</v>
      </c>
      <c r="H1262" s="4">
        <v>0</v>
      </c>
      <c r="I1262" s="4" t="s">
        <v>27</v>
      </c>
      <c r="J1262" s="4" t="s">
        <v>23</v>
      </c>
      <c r="K1262" s="4" t="s">
        <v>24</v>
      </c>
      <c r="L1262" s="9">
        <v>44954</v>
      </c>
      <c r="M1262" s="9" t="str">
        <f>TEXT(Source_data[[#This Row],[Listing_Date]],"mmm-yy")</f>
        <v>Jan-23</v>
      </c>
      <c r="N1262" s="4">
        <f t="shared" si="19"/>
        <v>20237.12239089184</v>
      </c>
      <c r="O1262" s="3" cm="1">
        <f t="array" ref="O1262">_xlfn.IFS(AND(K1262="Broker",J1262="Resale"),F1262*0.5,AND(K1262="Owner",J1262="Resale"),F1262*0,AND(K1262="Builder",J1262="Resale"),F1262*0.3,AND(J1262="New",K1262="Broker"),F1262*0.1,AND(J1262="New",K1262="Owner"),F1262*0,AND(J1262="New",K1262="Builder"),F1262*0.5)</f>
        <v>6398978.0999999996</v>
      </c>
    </row>
    <row r="1263" spans="1:15" x14ac:dyDescent="0.3">
      <c r="A1263" s="8" t="s">
        <v>1346</v>
      </c>
      <c r="B1263" s="4" t="s">
        <v>1286</v>
      </c>
      <c r="C1263" s="4" t="s">
        <v>1287</v>
      </c>
      <c r="D1263" s="4">
        <v>3</v>
      </c>
      <c r="E1263" s="4">
        <v>1204</v>
      </c>
      <c r="F1263" s="4">
        <v>12066956</v>
      </c>
      <c r="G1263" s="4">
        <v>2</v>
      </c>
      <c r="H1263" s="4">
        <v>2</v>
      </c>
      <c r="I1263" s="4" t="s">
        <v>8</v>
      </c>
      <c r="J1263" s="4" t="s">
        <v>19</v>
      </c>
      <c r="K1263" s="4" t="s">
        <v>24</v>
      </c>
      <c r="L1263" s="9">
        <v>45170</v>
      </c>
      <c r="M1263" s="9" t="str">
        <f>TEXT(Source_data[[#This Row],[Listing_Date]],"mmm-yy")</f>
        <v>Sep-23</v>
      </c>
      <c r="N1263" s="4">
        <f t="shared" si="19"/>
        <v>10022.388704318937</v>
      </c>
      <c r="O1263" s="3" cm="1">
        <f t="array" ref="O1263">_xlfn.IFS(AND(K1263="Broker",J1263="Resale"),F1263*0.5,AND(K1263="Owner",J1263="Resale"),F1263*0,AND(K1263="Builder",J1263="Resale"),F1263*0.3,AND(J1263="New",K1263="Broker"),F1263*0.1,AND(J1263="New",K1263="Owner"),F1263*0,AND(J1263="New",K1263="Builder"),F1263*0.5)</f>
        <v>6033478</v>
      </c>
    </row>
    <row r="1264" spans="1:15" x14ac:dyDescent="0.3">
      <c r="A1264" s="8" t="s">
        <v>1347</v>
      </c>
      <c r="B1264" s="4" t="s">
        <v>1286</v>
      </c>
      <c r="C1264" s="4" t="s">
        <v>1299</v>
      </c>
      <c r="D1264" s="4">
        <v>2</v>
      </c>
      <c r="E1264" s="4">
        <v>1224</v>
      </c>
      <c r="F1264" s="4">
        <v>16870146</v>
      </c>
      <c r="G1264" s="4">
        <v>2</v>
      </c>
      <c r="H1264" s="4">
        <v>1</v>
      </c>
      <c r="I1264" s="4" t="s">
        <v>27</v>
      </c>
      <c r="J1264" s="4" t="s">
        <v>19</v>
      </c>
      <c r="K1264" s="4" t="s">
        <v>24</v>
      </c>
      <c r="L1264" s="9">
        <v>45009</v>
      </c>
      <c r="M1264" s="9" t="str">
        <f>TEXT(Source_data[[#This Row],[Listing_Date]],"mmm-yy")</f>
        <v>Mar-23</v>
      </c>
      <c r="N1264" s="4">
        <f t="shared" si="19"/>
        <v>13782.799019607843</v>
      </c>
      <c r="O1264" s="3" cm="1">
        <f t="array" ref="O1264">_xlfn.IFS(AND(K1264="Broker",J1264="Resale"),F1264*0.5,AND(K1264="Owner",J1264="Resale"),F1264*0,AND(K1264="Builder",J1264="Resale"),F1264*0.3,AND(J1264="New",K1264="Broker"),F1264*0.1,AND(J1264="New",K1264="Owner"),F1264*0,AND(J1264="New",K1264="Builder"),F1264*0.5)</f>
        <v>8435073</v>
      </c>
    </row>
    <row r="1265" spans="1:15" x14ac:dyDescent="0.3">
      <c r="A1265" s="8" t="s">
        <v>1348</v>
      </c>
      <c r="B1265" s="4" t="s">
        <v>1286</v>
      </c>
      <c r="C1265" s="4" t="s">
        <v>1293</v>
      </c>
      <c r="D1265" s="4">
        <v>2</v>
      </c>
      <c r="E1265" s="4">
        <v>464</v>
      </c>
      <c r="F1265" s="4">
        <v>11090161</v>
      </c>
      <c r="G1265" s="4">
        <v>2</v>
      </c>
      <c r="H1265" s="4">
        <v>2</v>
      </c>
      <c r="I1265" s="4" t="s">
        <v>27</v>
      </c>
      <c r="J1265" s="4" t="s">
        <v>23</v>
      </c>
      <c r="K1265" s="4" t="s">
        <v>20</v>
      </c>
      <c r="L1265" s="9">
        <v>45620</v>
      </c>
      <c r="M1265" s="9" t="str">
        <f>TEXT(Source_data[[#This Row],[Listing_Date]],"mmm-yy")</f>
        <v>Nov-24</v>
      </c>
      <c r="N1265" s="4">
        <f t="shared" si="19"/>
        <v>23901.209051724138</v>
      </c>
      <c r="O1265" s="3" cm="1">
        <f t="array" ref="O1265">_xlfn.IFS(AND(K1265="Broker",J1265="Resale"),F1265*0.5,AND(K1265="Owner",J1265="Resale"),F1265*0,AND(K1265="Builder",J1265="Resale"),F1265*0.3,AND(J1265="New",K1265="Broker"),F1265*0.1,AND(J1265="New",K1265="Owner"),F1265*0,AND(J1265="New",K1265="Builder"),F1265*0.5)</f>
        <v>5545080.5</v>
      </c>
    </row>
    <row r="1266" spans="1:15" x14ac:dyDescent="0.3">
      <c r="A1266" s="8" t="s">
        <v>1349</v>
      </c>
      <c r="B1266" s="4" t="s">
        <v>1286</v>
      </c>
      <c r="C1266" s="4" t="s">
        <v>1293</v>
      </c>
      <c r="D1266" s="4">
        <v>2</v>
      </c>
      <c r="E1266" s="4">
        <v>607</v>
      </c>
      <c r="F1266" s="4">
        <v>11745362</v>
      </c>
      <c r="G1266" s="4">
        <v>2</v>
      </c>
      <c r="H1266" s="4">
        <v>1</v>
      </c>
      <c r="I1266" s="4" t="s">
        <v>8</v>
      </c>
      <c r="J1266" s="4" t="s">
        <v>23</v>
      </c>
      <c r="K1266" s="4" t="s">
        <v>24</v>
      </c>
      <c r="L1266" s="9">
        <v>45422</v>
      </c>
      <c r="M1266" s="9" t="str">
        <f>TEXT(Source_data[[#This Row],[Listing_Date]],"mmm-yy")</f>
        <v>May-24</v>
      </c>
      <c r="N1266" s="4">
        <f t="shared" si="19"/>
        <v>19349.855024711698</v>
      </c>
      <c r="O1266" s="3" cm="1">
        <f t="array" ref="O1266">_xlfn.IFS(AND(K1266="Broker",J1266="Resale"),F1266*0.5,AND(K1266="Owner",J1266="Resale"),F1266*0,AND(K1266="Builder",J1266="Resale"),F1266*0.3,AND(J1266="New",K1266="Broker"),F1266*0.1,AND(J1266="New",K1266="Owner"),F1266*0,AND(J1266="New",K1266="Builder"),F1266*0.5)</f>
        <v>3523608.6</v>
      </c>
    </row>
    <row r="1267" spans="1:15" x14ac:dyDescent="0.3">
      <c r="A1267" s="8" t="s">
        <v>1350</v>
      </c>
      <c r="B1267" s="4" t="s">
        <v>1286</v>
      </c>
      <c r="C1267" s="4" t="s">
        <v>1287</v>
      </c>
      <c r="D1267" s="4">
        <v>3</v>
      </c>
      <c r="E1267" s="4">
        <v>1346</v>
      </c>
      <c r="F1267" s="4">
        <v>44589013</v>
      </c>
      <c r="G1267" s="4">
        <v>2</v>
      </c>
      <c r="H1267" s="4">
        <v>1</v>
      </c>
      <c r="I1267" s="4" t="s">
        <v>27</v>
      </c>
      <c r="J1267" s="4" t="s">
        <v>19</v>
      </c>
      <c r="K1267" s="4" t="s">
        <v>20</v>
      </c>
      <c r="L1267" s="9">
        <v>45303</v>
      </c>
      <c r="M1267" s="9" t="str">
        <f>TEXT(Source_data[[#This Row],[Listing_Date]],"mmm-yy")</f>
        <v>Jan-24</v>
      </c>
      <c r="N1267" s="4">
        <f t="shared" si="19"/>
        <v>33127.052748885588</v>
      </c>
      <c r="O1267" s="3" cm="1">
        <f t="array" ref="O1267">_xlfn.IFS(AND(K1267="Broker",J1267="Resale"),F1267*0.5,AND(K1267="Owner",J1267="Resale"),F1267*0,AND(K1267="Builder",J1267="Resale"),F1267*0.3,AND(J1267="New",K1267="Broker"),F1267*0.1,AND(J1267="New",K1267="Owner"),F1267*0,AND(J1267="New",K1267="Builder"),F1267*0.5)</f>
        <v>4458901.3</v>
      </c>
    </row>
    <row r="1268" spans="1:15" x14ac:dyDescent="0.3">
      <c r="A1268" s="8" t="s">
        <v>1351</v>
      </c>
      <c r="B1268" s="4" t="s">
        <v>1286</v>
      </c>
      <c r="C1268" s="4" t="s">
        <v>1299</v>
      </c>
      <c r="D1268" s="4">
        <v>4</v>
      </c>
      <c r="E1268" s="4">
        <v>1452</v>
      </c>
      <c r="F1268" s="4">
        <v>32137528</v>
      </c>
      <c r="G1268" s="4">
        <v>3</v>
      </c>
      <c r="H1268" s="4">
        <v>3</v>
      </c>
      <c r="I1268" s="4" t="s">
        <v>27</v>
      </c>
      <c r="J1268" s="4" t="s">
        <v>23</v>
      </c>
      <c r="K1268" s="4" t="s">
        <v>24</v>
      </c>
      <c r="L1268" s="9">
        <v>45265</v>
      </c>
      <c r="M1268" s="9" t="str">
        <f>TEXT(Source_data[[#This Row],[Listing_Date]],"mmm-yy")</f>
        <v>Dec-23</v>
      </c>
      <c r="N1268" s="4">
        <f t="shared" si="19"/>
        <v>22133.283746556473</v>
      </c>
      <c r="O1268" s="3" cm="1">
        <f t="array" ref="O1268">_xlfn.IFS(AND(K1268="Broker",J1268="Resale"),F1268*0.5,AND(K1268="Owner",J1268="Resale"),F1268*0,AND(K1268="Builder",J1268="Resale"),F1268*0.3,AND(J1268="New",K1268="Broker"),F1268*0.1,AND(J1268="New",K1268="Owner"),F1268*0,AND(J1268="New",K1268="Builder"),F1268*0.5)</f>
        <v>9641258.4000000004</v>
      </c>
    </row>
    <row r="1269" spans="1:15" x14ac:dyDescent="0.3">
      <c r="A1269" s="8" t="s">
        <v>1352</v>
      </c>
      <c r="B1269" s="4" t="s">
        <v>1286</v>
      </c>
      <c r="C1269" s="4" t="s">
        <v>1289</v>
      </c>
      <c r="D1269" s="4">
        <v>3</v>
      </c>
      <c r="E1269" s="4">
        <v>1180</v>
      </c>
      <c r="F1269" s="4">
        <v>30274807</v>
      </c>
      <c r="G1269" s="4">
        <v>3</v>
      </c>
      <c r="H1269" s="4">
        <v>1</v>
      </c>
      <c r="I1269" s="4" t="s">
        <v>27</v>
      </c>
      <c r="J1269" s="4" t="s">
        <v>23</v>
      </c>
      <c r="K1269" s="4" t="s">
        <v>24</v>
      </c>
      <c r="L1269" s="9">
        <v>45110</v>
      </c>
      <c r="M1269" s="9" t="str">
        <f>TEXT(Source_data[[#This Row],[Listing_Date]],"mmm-yy")</f>
        <v>Jul-23</v>
      </c>
      <c r="N1269" s="4">
        <f t="shared" si="19"/>
        <v>25656.616101694915</v>
      </c>
      <c r="O1269" s="3" cm="1">
        <f t="array" ref="O1269">_xlfn.IFS(AND(K1269="Broker",J1269="Resale"),F1269*0.5,AND(K1269="Owner",J1269="Resale"),F1269*0,AND(K1269="Builder",J1269="Resale"),F1269*0.3,AND(J1269="New",K1269="Broker"),F1269*0.1,AND(J1269="New",K1269="Owner"),F1269*0,AND(J1269="New",K1269="Builder"),F1269*0.5)</f>
        <v>9082442.0999999996</v>
      </c>
    </row>
    <row r="1270" spans="1:15" x14ac:dyDescent="0.3">
      <c r="A1270" s="8" t="s">
        <v>1353</v>
      </c>
      <c r="B1270" s="4" t="s">
        <v>1286</v>
      </c>
      <c r="C1270" s="4" t="s">
        <v>1299</v>
      </c>
      <c r="D1270" s="4">
        <v>2</v>
      </c>
      <c r="E1270" s="4">
        <v>896</v>
      </c>
      <c r="F1270" s="4">
        <v>15688727</v>
      </c>
      <c r="G1270" s="4">
        <v>2</v>
      </c>
      <c r="H1270" s="4">
        <v>3</v>
      </c>
      <c r="I1270" s="4" t="s">
        <v>18</v>
      </c>
      <c r="J1270" s="4" t="s">
        <v>19</v>
      </c>
      <c r="K1270" s="4" t="s">
        <v>36</v>
      </c>
      <c r="L1270" s="9">
        <v>45289</v>
      </c>
      <c r="M1270" s="9" t="str">
        <f>TEXT(Source_data[[#This Row],[Listing_Date]],"mmm-yy")</f>
        <v>Dec-23</v>
      </c>
      <c r="N1270" s="4">
        <f t="shared" si="19"/>
        <v>17509.739955357141</v>
      </c>
      <c r="O1270" s="3" cm="1">
        <f t="array" ref="O1270">_xlfn.IFS(AND(K1270="Broker",J1270="Resale"),F1270*0.5,AND(K1270="Owner",J1270="Resale"),F1270*0,AND(K1270="Builder",J1270="Resale"),F1270*0.3,AND(J1270="New",K1270="Broker"),F1270*0.1,AND(J1270="New",K1270="Owner"),F1270*0,AND(J1270="New",K1270="Builder"),F1270*0.5)</f>
        <v>0</v>
      </c>
    </row>
    <row r="1271" spans="1:15" x14ac:dyDescent="0.3">
      <c r="A1271" s="8" t="s">
        <v>1354</v>
      </c>
      <c r="B1271" s="4" t="s">
        <v>1286</v>
      </c>
      <c r="C1271" s="4" t="s">
        <v>1305</v>
      </c>
      <c r="D1271" s="4">
        <v>3</v>
      </c>
      <c r="E1271" s="4">
        <v>1383</v>
      </c>
      <c r="F1271" s="4">
        <v>25229467</v>
      </c>
      <c r="G1271" s="4">
        <v>3</v>
      </c>
      <c r="H1271" s="4">
        <v>3</v>
      </c>
      <c r="I1271" s="4" t="s">
        <v>27</v>
      </c>
      <c r="J1271" s="4" t="s">
        <v>19</v>
      </c>
      <c r="K1271" s="4" t="s">
        <v>36</v>
      </c>
      <c r="L1271" s="9">
        <v>44958</v>
      </c>
      <c r="M1271" s="9" t="str">
        <f>TEXT(Source_data[[#This Row],[Listing_Date]],"mmm-yy")</f>
        <v>Feb-23</v>
      </c>
      <c r="N1271" s="4">
        <f t="shared" si="19"/>
        <v>18242.564714389009</v>
      </c>
      <c r="O1271" s="3" cm="1">
        <f t="array" ref="O1271">_xlfn.IFS(AND(K1271="Broker",J1271="Resale"),F1271*0.5,AND(K1271="Owner",J1271="Resale"),F1271*0,AND(K1271="Builder",J1271="Resale"),F1271*0.3,AND(J1271="New",K1271="Broker"),F1271*0.1,AND(J1271="New",K1271="Owner"),F1271*0,AND(J1271="New",K1271="Builder"),F1271*0.5)</f>
        <v>0</v>
      </c>
    </row>
    <row r="1272" spans="1:15" x14ac:dyDescent="0.3">
      <c r="A1272" s="8" t="s">
        <v>1355</v>
      </c>
      <c r="B1272" s="4" t="s">
        <v>1286</v>
      </c>
      <c r="C1272" s="4" t="s">
        <v>1291</v>
      </c>
      <c r="D1272" s="4">
        <v>3</v>
      </c>
      <c r="E1272" s="4">
        <v>1228</v>
      </c>
      <c r="F1272" s="4">
        <v>21270116</v>
      </c>
      <c r="G1272" s="4">
        <v>3</v>
      </c>
      <c r="H1272" s="4">
        <v>2</v>
      </c>
      <c r="I1272" s="4" t="s">
        <v>27</v>
      </c>
      <c r="J1272" s="4" t="s">
        <v>23</v>
      </c>
      <c r="K1272" s="4" t="s">
        <v>20</v>
      </c>
      <c r="L1272" s="9">
        <v>45680</v>
      </c>
      <c r="M1272" s="9" t="str">
        <f>TEXT(Source_data[[#This Row],[Listing_Date]],"mmm-yy")</f>
        <v>Jan-25</v>
      </c>
      <c r="N1272" s="4">
        <f t="shared" si="19"/>
        <v>17320.941368078176</v>
      </c>
      <c r="O1272" s="3" cm="1">
        <f t="array" ref="O1272">_xlfn.IFS(AND(K1272="Broker",J1272="Resale"),F1272*0.5,AND(K1272="Owner",J1272="Resale"),F1272*0,AND(K1272="Builder",J1272="Resale"),F1272*0.3,AND(J1272="New",K1272="Broker"),F1272*0.1,AND(J1272="New",K1272="Owner"),F1272*0,AND(J1272="New",K1272="Builder"),F1272*0.5)</f>
        <v>10635058</v>
      </c>
    </row>
    <row r="1273" spans="1:15" x14ac:dyDescent="0.3">
      <c r="A1273" s="8" t="s">
        <v>1356</v>
      </c>
      <c r="B1273" s="4" t="s">
        <v>1286</v>
      </c>
      <c r="C1273" s="4" t="s">
        <v>1287</v>
      </c>
      <c r="D1273" s="4">
        <v>2</v>
      </c>
      <c r="E1273" s="4">
        <v>960</v>
      </c>
      <c r="F1273" s="4">
        <v>17301396</v>
      </c>
      <c r="G1273" s="4">
        <v>2</v>
      </c>
      <c r="H1273" s="4">
        <v>0</v>
      </c>
      <c r="I1273" s="4" t="s">
        <v>8</v>
      </c>
      <c r="J1273" s="4" t="s">
        <v>19</v>
      </c>
      <c r="K1273" s="4" t="s">
        <v>20</v>
      </c>
      <c r="L1273" s="9">
        <v>45072</v>
      </c>
      <c r="M1273" s="9" t="str">
        <f>TEXT(Source_data[[#This Row],[Listing_Date]],"mmm-yy")</f>
        <v>May-23</v>
      </c>
      <c r="N1273" s="4">
        <f t="shared" si="19"/>
        <v>18022.287499999999</v>
      </c>
      <c r="O1273" s="3" cm="1">
        <f t="array" ref="O1273">_xlfn.IFS(AND(K1273="Broker",J1273="Resale"),F1273*0.5,AND(K1273="Owner",J1273="Resale"),F1273*0,AND(K1273="Builder",J1273="Resale"),F1273*0.3,AND(J1273="New",K1273="Broker"),F1273*0.1,AND(J1273="New",K1273="Owner"),F1273*0,AND(J1273="New",K1273="Builder"),F1273*0.5)</f>
        <v>1730139.6</v>
      </c>
    </row>
    <row r="1274" spans="1:15" x14ac:dyDescent="0.3">
      <c r="A1274" s="8" t="s">
        <v>1357</v>
      </c>
      <c r="B1274" s="4" t="s">
        <v>1286</v>
      </c>
      <c r="C1274" s="4" t="s">
        <v>1293</v>
      </c>
      <c r="D1274" s="4">
        <v>3</v>
      </c>
      <c r="E1274" s="4">
        <v>1292</v>
      </c>
      <c r="F1274" s="4">
        <v>27986607</v>
      </c>
      <c r="G1274" s="4">
        <v>3</v>
      </c>
      <c r="H1274" s="4">
        <v>0</v>
      </c>
      <c r="I1274" s="4" t="s">
        <v>18</v>
      </c>
      <c r="J1274" s="4" t="s">
        <v>23</v>
      </c>
      <c r="K1274" s="4" t="s">
        <v>20</v>
      </c>
      <c r="L1274" s="9">
        <v>44952</v>
      </c>
      <c r="M1274" s="9" t="str">
        <f>TEXT(Source_data[[#This Row],[Listing_Date]],"mmm-yy")</f>
        <v>Jan-23</v>
      </c>
      <c r="N1274" s="4">
        <f t="shared" si="19"/>
        <v>21661.46052631579</v>
      </c>
      <c r="O1274" s="3" cm="1">
        <f t="array" ref="O1274">_xlfn.IFS(AND(K1274="Broker",J1274="Resale"),F1274*0.5,AND(K1274="Owner",J1274="Resale"),F1274*0,AND(K1274="Builder",J1274="Resale"),F1274*0.3,AND(J1274="New",K1274="Broker"),F1274*0.1,AND(J1274="New",K1274="Owner"),F1274*0,AND(J1274="New",K1274="Builder"),F1274*0.5)</f>
        <v>13993303.5</v>
      </c>
    </row>
    <row r="1275" spans="1:15" x14ac:dyDescent="0.3">
      <c r="A1275" s="8" t="s">
        <v>1358</v>
      </c>
      <c r="B1275" s="4" t="s">
        <v>1286</v>
      </c>
      <c r="C1275" s="4" t="s">
        <v>1289</v>
      </c>
      <c r="D1275" s="4">
        <v>3</v>
      </c>
      <c r="E1275" s="4">
        <v>1246</v>
      </c>
      <c r="F1275" s="4">
        <v>20193073</v>
      </c>
      <c r="G1275" s="4">
        <v>3</v>
      </c>
      <c r="H1275" s="4">
        <v>2</v>
      </c>
      <c r="I1275" s="4" t="s">
        <v>8</v>
      </c>
      <c r="J1275" s="4" t="s">
        <v>19</v>
      </c>
      <c r="K1275" s="4" t="s">
        <v>36</v>
      </c>
      <c r="L1275" s="9">
        <v>45121</v>
      </c>
      <c r="M1275" s="9" t="str">
        <f>TEXT(Source_data[[#This Row],[Listing_Date]],"mmm-yy")</f>
        <v>Jul-23</v>
      </c>
      <c r="N1275" s="4">
        <f t="shared" si="19"/>
        <v>16206.318619582664</v>
      </c>
      <c r="O1275" s="3" cm="1">
        <f t="array" ref="O1275">_xlfn.IFS(AND(K1275="Broker",J1275="Resale"),F1275*0.5,AND(K1275="Owner",J1275="Resale"),F1275*0,AND(K1275="Builder",J1275="Resale"),F1275*0.3,AND(J1275="New",K1275="Broker"),F1275*0.1,AND(J1275="New",K1275="Owner"),F1275*0,AND(J1275="New",K1275="Builder"),F1275*0.5)</f>
        <v>0</v>
      </c>
    </row>
    <row r="1276" spans="1:15" x14ac:dyDescent="0.3">
      <c r="A1276" s="8" t="s">
        <v>1359</v>
      </c>
      <c r="B1276" s="4" t="s">
        <v>1286</v>
      </c>
      <c r="C1276" s="4" t="s">
        <v>1305</v>
      </c>
      <c r="D1276" s="4">
        <v>3</v>
      </c>
      <c r="E1276" s="4">
        <v>1270</v>
      </c>
      <c r="F1276" s="4">
        <v>28092944</v>
      </c>
      <c r="G1276" s="4">
        <v>4</v>
      </c>
      <c r="H1276" s="4">
        <v>2</v>
      </c>
      <c r="I1276" s="4" t="s">
        <v>8</v>
      </c>
      <c r="J1276" s="4" t="s">
        <v>19</v>
      </c>
      <c r="K1276" s="4" t="s">
        <v>24</v>
      </c>
      <c r="L1276" s="9">
        <v>45682</v>
      </c>
      <c r="M1276" s="9" t="str">
        <f>TEXT(Source_data[[#This Row],[Listing_Date]],"mmm-yy")</f>
        <v>Jan-25</v>
      </c>
      <c r="N1276" s="4">
        <f t="shared" si="19"/>
        <v>22120.428346456694</v>
      </c>
      <c r="O1276" s="3" cm="1">
        <f t="array" ref="O1276">_xlfn.IFS(AND(K1276="Broker",J1276="Resale"),F1276*0.5,AND(K1276="Owner",J1276="Resale"),F1276*0,AND(K1276="Builder",J1276="Resale"),F1276*0.3,AND(J1276="New",K1276="Broker"),F1276*0.1,AND(J1276="New",K1276="Owner"),F1276*0,AND(J1276="New",K1276="Builder"),F1276*0.5)</f>
        <v>14046472</v>
      </c>
    </row>
    <row r="1277" spans="1:15" x14ac:dyDescent="0.3">
      <c r="A1277" s="8" t="s">
        <v>1360</v>
      </c>
      <c r="B1277" s="4" t="s">
        <v>1286</v>
      </c>
      <c r="C1277" s="4" t="s">
        <v>1293</v>
      </c>
      <c r="D1277" s="4">
        <v>4</v>
      </c>
      <c r="E1277" s="4">
        <v>1699</v>
      </c>
      <c r="F1277" s="4">
        <v>38195526</v>
      </c>
      <c r="G1277" s="4">
        <v>3</v>
      </c>
      <c r="H1277" s="4">
        <v>2</v>
      </c>
      <c r="I1277" s="4" t="s">
        <v>27</v>
      </c>
      <c r="J1277" s="4" t="s">
        <v>23</v>
      </c>
      <c r="K1277" s="4" t="s">
        <v>24</v>
      </c>
      <c r="L1277" s="9">
        <v>45207</v>
      </c>
      <c r="M1277" s="9" t="str">
        <f>TEXT(Source_data[[#This Row],[Listing_Date]],"mmm-yy")</f>
        <v>Oct-23</v>
      </c>
      <c r="N1277" s="4">
        <f t="shared" si="19"/>
        <v>22481.180694526192</v>
      </c>
      <c r="O1277" s="3" cm="1">
        <f t="array" ref="O1277">_xlfn.IFS(AND(K1277="Broker",J1277="Resale"),F1277*0.5,AND(K1277="Owner",J1277="Resale"),F1277*0,AND(K1277="Builder",J1277="Resale"),F1277*0.3,AND(J1277="New",K1277="Broker"),F1277*0.1,AND(J1277="New",K1277="Owner"),F1277*0,AND(J1277="New",K1277="Builder"),F1277*0.5)</f>
        <v>11458657.799999999</v>
      </c>
    </row>
    <row r="1278" spans="1:15" x14ac:dyDescent="0.3">
      <c r="A1278" s="8" t="s">
        <v>1361</v>
      </c>
      <c r="B1278" s="4" t="s">
        <v>1286</v>
      </c>
      <c r="C1278" s="4" t="s">
        <v>1289</v>
      </c>
      <c r="D1278" s="4">
        <v>2</v>
      </c>
      <c r="E1278" s="4">
        <v>1012</v>
      </c>
      <c r="F1278" s="4">
        <v>17156426</v>
      </c>
      <c r="G1278" s="4">
        <v>2</v>
      </c>
      <c r="H1278" s="4">
        <v>2</v>
      </c>
      <c r="I1278" s="4" t="s">
        <v>8</v>
      </c>
      <c r="J1278" s="4" t="s">
        <v>23</v>
      </c>
      <c r="K1278" s="4" t="s">
        <v>20</v>
      </c>
      <c r="L1278" s="9">
        <v>45119</v>
      </c>
      <c r="M1278" s="9" t="str">
        <f>TEXT(Source_data[[#This Row],[Listing_Date]],"mmm-yy")</f>
        <v>Jul-23</v>
      </c>
      <c r="N1278" s="4">
        <f t="shared" si="19"/>
        <v>16952.990118577076</v>
      </c>
      <c r="O1278" s="3" cm="1">
        <f t="array" ref="O1278">_xlfn.IFS(AND(K1278="Broker",J1278="Resale"),F1278*0.5,AND(K1278="Owner",J1278="Resale"),F1278*0,AND(K1278="Builder",J1278="Resale"),F1278*0.3,AND(J1278="New",K1278="Broker"),F1278*0.1,AND(J1278="New",K1278="Owner"),F1278*0,AND(J1278="New",K1278="Builder"),F1278*0.5)</f>
        <v>8578213</v>
      </c>
    </row>
    <row r="1279" spans="1:15" x14ac:dyDescent="0.3">
      <c r="A1279" s="8" t="s">
        <v>1362</v>
      </c>
      <c r="B1279" s="4" t="s">
        <v>1286</v>
      </c>
      <c r="C1279" s="4" t="s">
        <v>1293</v>
      </c>
      <c r="D1279" s="4">
        <v>2</v>
      </c>
      <c r="E1279" s="4">
        <v>1022</v>
      </c>
      <c r="F1279" s="4">
        <v>18933290</v>
      </c>
      <c r="G1279" s="4">
        <v>2</v>
      </c>
      <c r="H1279" s="4">
        <v>1</v>
      </c>
      <c r="I1279" s="4" t="s">
        <v>18</v>
      </c>
      <c r="J1279" s="4" t="s">
        <v>19</v>
      </c>
      <c r="K1279" s="4" t="s">
        <v>20</v>
      </c>
      <c r="L1279" s="9">
        <v>45853</v>
      </c>
      <c r="M1279" s="9" t="str">
        <f>TEXT(Source_data[[#This Row],[Listing_Date]],"mmm-yy")</f>
        <v>Jul-25</v>
      </c>
      <c r="N1279" s="4">
        <f t="shared" si="19"/>
        <v>18525.724070450098</v>
      </c>
      <c r="O1279" s="3" cm="1">
        <f t="array" ref="O1279">_xlfn.IFS(AND(K1279="Broker",J1279="Resale"),F1279*0.5,AND(K1279="Owner",J1279="Resale"),F1279*0,AND(K1279="Builder",J1279="Resale"),F1279*0.3,AND(J1279="New",K1279="Broker"),F1279*0.1,AND(J1279="New",K1279="Owner"),F1279*0,AND(J1279="New",K1279="Builder"),F1279*0.5)</f>
        <v>1893329</v>
      </c>
    </row>
    <row r="1280" spans="1:15" x14ac:dyDescent="0.3">
      <c r="A1280" s="8" t="s">
        <v>1363</v>
      </c>
      <c r="B1280" s="4" t="s">
        <v>1286</v>
      </c>
      <c r="C1280" s="4" t="s">
        <v>1291</v>
      </c>
      <c r="D1280" s="4">
        <v>5</v>
      </c>
      <c r="E1280" s="4">
        <v>2495</v>
      </c>
      <c r="F1280" s="4">
        <v>70069766</v>
      </c>
      <c r="G1280" s="4">
        <v>3</v>
      </c>
      <c r="H1280" s="4">
        <v>2</v>
      </c>
      <c r="I1280" s="4" t="s">
        <v>18</v>
      </c>
      <c r="J1280" s="4" t="s">
        <v>19</v>
      </c>
      <c r="K1280" s="4" t="s">
        <v>20</v>
      </c>
      <c r="L1280" s="9">
        <v>45607</v>
      </c>
      <c r="M1280" s="9" t="str">
        <f>TEXT(Source_data[[#This Row],[Listing_Date]],"mmm-yy")</f>
        <v>Nov-24</v>
      </c>
      <c r="N1280" s="4">
        <f t="shared" si="19"/>
        <v>28084.074549098197</v>
      </c>
      <c r="O1280" s="3" cm="1">
        <f t="array" ref="O1280">_xlfn.IFS(AND(K1280="Broker",J1280="Resale"),F1280*0.5,AND(K1280="Owner",J1280="Resale"),F1280*0,AND(K1280="Builder",J1280="Resale"),F1280*0.3,AND(J1280="New",K1280="Broker"),F1280*0.1,AND(J1280="New",K1280="Owner"),F1280*0,AND(J1280="New",K1280="Builder"),F1280*0.5)</f>
        <v>7006976.6000000006</v>
      </c>
    </row>
    <row r="1281" spans="1:15" x14ac:dyDescent="0.3">
      <c r="A1281" s="8" t="s">
        <v>1364</v>
      </c>
      <c r="B1281" s="4" t="s">
        <v>1286</v>
      </c>
      <c r="C1281" s="4" t="s">
        <v>1287</v>
      </c>
      <c r="D1281" s="4">
        <v>3</v>
      </c>
      <c r="E1281" s="4">
        <v>1401</v>
      </c>
      <c r="F1281" s="4">
        <v>27563074</v>
      </c>
      <c r="G1281" s="4">
        <v>4</v>
      </c>
      <c r="H1281" s="4">
        <v>1</v>
      </c>
      <c r="I1281" s="4" t="s">
        <v>8</v>
      </c>
      <c r="J1281" s="4" t="s">
        <v>23</v>
      </c>
      <c r="K1281" s="4" t="s">
        <v>36</v>
      </c>
      <c r="L1281" s="9">
        <v>45556</v>
      </c>
      <c r="M1281" s="9" t="str">
        <f>TEXT(Source_data[[#This Row],[Listing_Date]],"mmm-yy")</f>
        <v>Sep-24</v>
      </c>
      <c r="N1281" s="4">
        <f t="shared" si="19"/>
        <v>19673.857244825125</v>
      </c>
      <c r="O1281" s="3" cm="1">
        <f t="array" ref="O1281">_xlfn.IFS(AND(K1281="Broker",J1281="Resale"),F1281*0.5,AND(K1281="Owner",J1281="Resale"),F1281*0,AND(K1281="Builder",J1281="Resale"),F1281*0.3,AND(J1281="New",K1281="Broker"),F1281*0.1,AND(J1281="New",K1281="Owner"),F1281*0,AND(J1281="New",K1281="Builder"),F1281*0.5)</f>
        <v>0</v>
      </c>
    </row>
    <row r="1282" spans="1:15" x14ac:dyDescent="0.3">
      <c r="A1282" s="8" t="s">
        <v>1365</v>
      </c>
      <c r="B1282" s="4" t="s">
        <v>1286</v>
      </c>
      <c r="C1282" s="4" t="s">
        <v>1299</v>
      </c>
      <c r="D1282" s="4">
        <v>2</v>
      </c>
      <c r="E1282" s="4">
        <v>1273</v>
      </c>
      <c r="F1282" s="4">
        <v>19420356</v>
      </c>
      <c r="G1282" s="4">
        <v>2</v>
      </c>
      <c r="H1282" s="4">
        <v>2</v>
      </c>
      <c r="I1282" s="4" t="s">
        <v>8</v>
      </c>
      <c r="J1282" s="4" t="s">
        <v>19</v>
      </c>
      <c r="K1282" s="4" t="s">
        <v>20</v>
      </c>
      <c r="L1282" s="9">
        <v>45186</v>
      </c>
      <c r="M1282" s="9" t="str">
        <f>TEXT(Source_data[[#This Row],[Listing_Date]],"mmm-yy")</f>
        <v>Sep-23</v>
      </c>
      <c r="N1282" s="4">
        <f t="shared" si="19"/>
        <v>15255.582089552239</v>
      </c>
      <c r="O1282" s="3" cm="1">
        <f t="array" ref="O1282">_xlfn.IFS(AND(K1282="Broker",J1282="Resale"),F1282*0.5,AND(K1282="Owner",J1282="Resale"),F1282*0,AND(K1282="Builder",J1282="Resale"),F1282*0.3,AND(J1282="New",K1282="Broker"),F1282*0.1,AND(J1282="New",K1282="Owner"),F1282*0,AND(J1282="New",K1282="Builder"),F1282*0.5)</f>
        <v>1942035.6</v>
      </c>
    </row>
    <row r="1283" spans="1:15" x14ac:dyDescent="0.3">
      <c r="A1283" s="8" t="s">
        <v>1366</v>
      </c>
      <c r="B1283" s="4" t="s">
        <v>1286</v>
      </c>
      <c r="C1283" s="4" t="s">
        <v>1293</v>
      </c>
      <c r="D1283" s="4">
        <v>3</v>
      </c>
      <c r="E1283" s="4">
        <v>1611</v>
      </c>
      <c r="F1283" s="4">
        <v>36770732</v>
      </c>
      <c r="G1283" s="4">
        <v>2</v>
      </c>
      <c r="H1283" s="4">
        <v>1</v>
      </c>
      <c r="I1283" s="4" t="s">
        <v>18</v>
      </c>
      <c r="J1283" s="4" t="s">
        <v>23</v>
      </c>
      <c r="K1283" s="4" t="s">
        <v>20</v>
      </c>
      <c r="L1283" s="9">
        <v>45563</v>
      </c>
      <c r="M1283" s="9" t="str">
        <f>TEXT(Source_data[[#This Row],[Listing_Date]],"mmm-yy")</f>
        <v>Sep-24</v>
      </c>
      <c r="N1283" s="4">
        <f t="shared" ref="N1283:N1346" si="20">F1283/E1283</f>
        <v>22824.787088764744</v>
      </c>
      <c r="O1283" s="3" cm="1">
        <f t="array" ref="O1283">_xlfn.IFS(AND(K1283="Broker",J1283="Resale"),F1283*0.5,AND(K1283="Owner",J1283="Resale"),F1283*0,AND(K1283="Builder",J1283="Resale"),F1283*0.3,AND(J1283="New",K1283="Broker"),F1283*0.1,AND(J1283="New",K1283="Owner"),F1283*0,AND(J1283="New",K1283="Builder"),F1283*0.5)</f>
        <v>18385366</v>
      </c>
    </row>
    <row r="1284" spans="1:15" x14ac:dyDescent="0.3">
      <c r="A1284" s="8" t="s">
        <v>1367</v>
      </c>
      <c r="B1284" s="4" t="s">
        <v>1286</v>
      </c>
      <c r="C1284" s="4" t="s">
        <v>1299</v>
      </c>
      <c r="D1284" s="4">
        <v>3</v>
      </c>
      <c r="E1284" s="4">
        <v>755</v>
      </c>
      <c r="F1284" s="4">
        <v>19447510</v>
      </c>
      <c r="G1284" s="4">
        <v>4</v>
      </c>
      <c r="H1284" s="4">
        <v>2</v>
      </c>
      <c r="I1284" s="4" t="s">
        <v>27</v>
      </c>
      <c r="J1284" s="4" t="s">
        <v>19</v>
      </c>
      <c r="K1284" s="4" t="s">
        <v>20</v>
      </c>
      <c r="L1284" s="9">
        <v>45715</v>
      </c>
      <c r="M1284" s="9" t="str">
        <f>TEXT(Source_data[[#This Row],[Listing_Date]],"mmm-yy")</f>
        <v>Feb-25</v>
      </c>
      <c r="N1284" s="4">
        <f t="shared" si="20"/>
        <v>25758.291390728478</v>
      </c>
      <c r="O1284" s="3" cm="1">
        <f t="array" ref="O1284">_xlfn.IFS(AND(K1284="Broker",J1284="Resale"),F1284*0.5,AND(K1284="Owner",J1284="Resale"),F1284*0,AND(K1284="Builder",J1284="Resale"),F1284*0.3,AND(J1284="New",K1284="Broker"),F1284*0.1,AND(J1284="New",K1284="Owner"),F1284*0,AND(J1284="New",K1284="Builder"),F1284*0.5)</f>
        <v>1944751</v>
      </c>
    </row>
    <row r="1285" spans="1:15" x14ac:dyDescent="0.3">
      <c r="A1285" s="8" t="s">
        <v>1368</v>
      </c>
      <c r="B1285" s="4" t="s">
        <v>1286</v>
      </c>
      <c r="C1285" s="4" t="s">
        <v>1299</v>
      </c>
      <c r="D1285" s="4">
        <v>4</v>
      </c>
      <c r="E1285" s="4">
        <v>601</v>
      </c>
      <c r="F1285" s="4">
        <v>15571802</v>
      </c>
      <c r="G1285" s="4">
        <v>2</v>
      </c>
      <c r="H1285" s="4">
        <v>2</v>
      </c>
      <c r="I1285" s="4" t="s">
        <v>8</v>
      </c>
      <c r="J1285" s="4" t="s">
        <v>19</v>
      </c>
      <c r="K1285" s="4" t="s">
        <v>36</v>
      </c>
      <c r="L1285" s="9">
        <v>45804</v>
      </c>
      <c r="M1285" s="9" t="str">
        <f>TEXT(Source_data[[#This Row],[Listing_Date]],"mmm-yy")</f>
        <v>May-25</v>
      </c>
      <c r="N1285" s="4">
        <f t="shared" si="20"/>
        <v>25909.820299500832</v>
      </c>
      <c r="O1285" s="3" cm="1">
        <f t="array" ref="O1285">_xlfn.IFS(AND(K1285="Broker",J1285="Resale"),F1285*0.5,AND(K1285="Owner",J1285="Resale"),F1285*0,AND(K1285="Builder",J1285="Resale"),F1285*0.3,AND(J1285="New",K1285="Broker"),F1285*0.1,AND(J1285="New",K1285="Owner"),F1285*0,AND(J1285="New",K1285="Builder"),F1285*0.5)</f>
        <v>0</v>
      </c>
    </row>
    <row r="1286" spans="1:15" x14ac:dyDescent="0.3">
      <c r="A1286" s="8" t="s">
        <v>1369</v>
      </c>
      <c r="B1286" s="4" t="s">
        <v>1286</v>
      </c>
      <c r="C1286" s="4" t="s">
        <v>1293</v>
      </c>
      <c r="D1286" s="4">
        <v>2</v>
      </c>
      <c r="E1286" s="4">
        <v>1085</v>
      </c>
      <c r="F1286" s="4">
        <v>20726496</v>
      </c>
      <c r="G1286" s="4">
        <v>2</v>
      </c>
      <c r="H1286" s="4">
        <v>2</v>
      </c>
      <c r="I1286" s="4" t="s">
        <v>18</v>
      </c>
      <c r="J1286" s="4" t="s">
        <v>19</v>
      </c>
      <c r="K1286" s="4" t="s">
        <v>20</v>
      </c>
      <c r="L1286" s="9">
        <v>44975</v>
      </c>
      <c r="M1286" s="9" t="str">
        <f>TEXT(Source_data[[#This Row],[Listing_Date]],"mmm-yy")</f>
        <v>Feb-23</v>
      </c>
      <c r="N1286" s="4">
        <f t="shared" si="20"/>
        <v>19102.761290322582</v>
      </c>
      <c r="O1286" s="3" cm="1">
        <f t="array" ref="O1286">_xlfn.IFS(AND(K1286="Broker",J1286="Resale"),F1286*0.5,AND(K1286="Owner",J1286="Resale"),F1286*0,AND(K1286="Builder",J1286="Resale"),F1286*0.3,AND(J1286="New",K1286="Broker"),F1286*0.1,AND(J1286="New",K1286="Owner"),F1286*0,AND(J1286="New",K1286="Builder"),F1286*0.5)</f>
        <v>2072649.6</v>
      </c>
    </row>
    <row r="1287" spans="1:15" x14ac:dyDescent="0.3">
      <c r="A1287" s="8" t="s">
        <v>1370</v>
      </c>
      <c r="B1287" s="4" t="s">
        <v>1286</v>
      </c>
      <c r="C1287" s="4" t="s">
        <v>1299</v>
      </c>
      <c r="D1287" s="4">
        <v>5</v>
      </c>
      <c r="E1287" s="4">
        <v>2771</v>
      </c>
      <c r="F1287" s="4">
        <v>97328757</v>
      </c>
      <c r="G1287" s="4">
        <v>3</v>
      </c>
      <c r="H1287" s="4">
        <v>1</v>
      </c>
      <c r="I1287" s="4" t="s">
        <v>27</v>
      </c>
      <c r="J1287" s="4" t="s">
        <v>19</v>
      </c>
      <c r="K1287" s="4" t="s">
        <v>20</v>
      </c>
      <c r="L1287" s="9">
        <v>45518</v>
      </c>
      <c r="M1287" s="9" t="str">
        <f>TEXT(Source_data[[#This Row],[Listing_Date]],"mmm-yy")</f>
        <v>Aug-24</v>
      </c>
      <c r="N1287" s="4">
        <f t="shared" si="20"/>
        <v>35124.055214723929</v>
      </c>
      <c r="O1287" s="3" cm="1">
        <f t="array" ref="O1287">_xlfn.IFS(AND(K1287="Broker",J1287="Resale"),F1287*0.5,AND(K1287="Owner",J1287="Resale"),F1287*0,AND(K1287="Builder",J1287="Resale"),F1287*0.3,AND(J1287="New",K1287="Broker"),F1287*0.1,AND(J1287="New",K1287="Owner"),F1287*0,AND(J1287="New",K1287="Builder"),F1287*0.5)</f>
        <v>9732875.7000000011</v>
      </c>
    </row>
    <row r="1288" spans="1:15" x14ac:dyDescent="0.3">
      <c r="A1288" s="8" t="s">
        <v>1371</v>
      </c>
      <c r="B1288" s="4" t="s">
        <v>1286</v>
      </c>
      <c r="C1288" s="4" t="s">
        <v>1299</v>
      </c>
      <c r="D1288" s="4">
        <v>3</v>
      </c>
      <c r="E1288" s="4">
        <v>1589</v>
      </c>
      <c r="F1288" s="4">
        <v>33340245</v>
      </c>
      <c r="G1288" s="4">
        <v>3</v>
      </c>
      <c r="H1288" s="4">
        <v>0</v>
      </c>
      <c r="I1288" s="4" t="s">
        <v>18</v>
      </c>
      <c r="J1288" s="4" t="s">
        <v>19</v>
      </c>
      <c r="K1288" s="4" t="s">
        <v>24</v>
      </c>
      <c r="L1288" s="9">
        <v>45415</v>
      </c>
      <c r="M1288" s="9" t="str">
        <f>TEXT(Source_data[[#This Row],[Listing_Date]],"mmm-yy")</f>
        <v>May-24</v>
      </c>
      <c r="N1288" s="4">
        <f t="shared" si="20"/>
        <v>20981.903713027063</v>
      </c>
      <c r="O1288" s="3" cm="1">
        <f t="array" ref="O1288">_xlfn.IFS(AND(K1288="Broker",J1288="Resale"),F1288*0.5,AND(K1288="Owner",J1288="Resale"),F1288*0,AND(K1288="Builder",J1288="Resale"),F1288*0.3,AND(J1288="New",K1288="Broker"),F1288*0.1,AND(J1288="New",K1288="Owner"),F1288*0,AND(J1288="New",K1288="Builder"),F1288*0.5)</f>
        <v>16670122.5</v>
      </c>
    </row>
    <row r="1289" spans="1:15" x14ac:dyDescent="0.3">
      <c r="A1289" s="8" t="s">
        <v>1372</v>
      </c>
      <c r="B1289" s="4" t="s">
        <v>1286</v>
      </c>
      <c r="C1289" s="4" t="s">
        <v>1291</v>
      </c>
      <c r="D1289" s="4">
        <v>2</v>
      </c>
      <c r="E1289" s="4">
        <v>833</v>
      </c>
      <c r="F1289" s="4">
        <v>24345962</v>
      </c>
      <c r="G1289" s="4">
        <v>2</v>
      </c>
      <c r="H1289" s="4">
        <v>4</v>
      </c>
      <c r="I1289" s="4" t="s">
        <v>27</v>
      </c>
      <c r="J1289" s="4" t="s">
        <v>23</v>
      </c>
      <c r="K1289" s="4" t="s">
        <v>20</v>
      </c>
      <c r="L1289" s="9">
        <v>45608</v>
      </c>
      <c r="M1289" s="9" t="str">
        <f>TEXT(Source_data[[#This Row],[Listing_Date]],"mmm-yy")</f>
        <v>Nov-24</v>
      </c>
      <c r="N1289" s="4">
        <f t="shared" si="20"/>
        <v>29226.845138055221</v>
      </c>
      <c r="O1289" s="3" cm="1">
        <f t="array" ref="O1289">_xlfn.IFS(AND(K1289="Broker",J1289="Resale"),F1289*0.5,AND(K1289="Owner",J1289="Resale"),F1289*0,AND(K1289="Builder",J1289="Resale"),F1289*0.3,AND(J1289="New",K1289="Broker"),F1289*0.1,AND(J1289="New",K1289="Owner"),F1289*0,AND(J1289="New",K1289="Builder"),F1289*0.5)</f>
        <v>12172981</v>
      </c>
    </row>
    <row r="1290" spans="1:15" x14ac:dyDescent="0.3">
      <c r="A1290" s="8" t="s">
        <v>1373</v>
      </c>
      <c r="B1290" s="4" t="s">
        <v>1286</v>
      </c>
      <c r="C1290" s="4" t="s">
        <v>1287</v>
      </c>
      <c r="D1290" s="4">
        <v>4</v>
      </c>
      <c r="E1290" s="4">
        <v>2023</v>
      </c>
      <c r="F1290" s="4">
        <v>49999619</v>
      </c>
      <c r="G1290" s="4">
        <v>4</v>
      </c>
      <c r="H1290" s="4">
        <v>1</v>
      </c>
      <c r="I1290" s="4" t="s">
        <v>18</v>
      </c>
      <c r="J1290" s="4" t="s">
        <v>23</v>
      </c>
      <c r="K1290" s="4" t="s">
        <v>24</v>
      </c>
      <c r="L1290" s="9">
        <v>45613</v>
      </c>
      <c r="M1290" s="9" t="str">
        <f>TEXT(Source_data[[#This Row],[Listing_Date]],"mmm-yy")</f>
        <v>Nov-24</v>
      </c>
      <c r="N1290" s="4">
        <f t="shared" si="20"/>
        <v>24715.580326248146</v>
      </c>
      <c r="O1290" s="3" cm="1">
        <f t="array" ref="O1290">_xlfn.IFS(AND(K1290="Broker",J1290="Resale"),F1290*0.5,AND(K1290="Owner",J1290="Resale"),F1290*0,AND(K1290="Builder",J1290="Resale"),F1290*0.3,AND(J1290="New",K1290="Broker"),F1290*0.1,AND(J1290="New",K1290="Owner"),F1290*0,AND(J1290="New",K1290="Builder"),F1290*0.5)</f>
        <v>14999885.699999999</v>
      </c>
    </row>
    <row r="1291" spans="1:15" x14ac:dyDescent="0.3">
      <c r="A1291" s="8" t="s">
        <v>1374</v>
      </c>
      <c r="B1291" s="4" t="s">
        <v>1286</v>
      </c>
      <c r="C1291" s="4" t="s">
        <v>1291</v>
      </c>
      <c r="D1291" s="4">
        <v>2</v>
      </c>
      <c r="E1291" s="4">
        <v>1238</v>
      </c>
      <c r="F1291" s="4">
        <v>24160669</v>
      </c>
      <c r="G1291" s="4">
        <v>2</v>
      </c>
      <c r="H1291" s="4">
        <v>3</v>
      </c>
      <c r="I1291" s="4" t="s">
        <v>8</v>
      </c>
      <c r="J1291" s="4" t="s">
        <v>23</v>
      </c>
      <c r="K1291" s="4" t="s">
        <v>36</v>
      </c>
      <c r="L1291" s="9">
        <v>44931</v>
      </c>
      <c r="M1291" s="9" t="str">
        <f>TEXT(Source_data[[#This Row],[Listing_Date]],"mmm-yy")</f>
        <v>Jan-23</v>
      </c>
      <c r="N1291" s="4">
        <f t="shared" si="20"/>
        <v>19515.887722132473</v>
      </c>
      <c r="O1291" s="3" cm="1">
        <f t="array" ref="O1291">_xlfn.IFS(AND(K1291="Broker",J1291="Resale"),F1291*0.5,AND(K1291="Owner",J1291="Resale"),F1291*0,AND(K1291="Builder",J1291="Resale"),F1291*0.3,AND(J1291="New",K1291="Broker"),F1291*0.1,AND(J1291="New",K1291="Owner"),F1291*0,AND(J1291="New",K1291="Builder"),F1291*0.5)</f>
        <v>0</v>
      </c>
    </row>
    <row r="1292" spans="1:15" x14ac:dyDescent="0.3">
      <c r="A1292" s="8" t="s">
        <v>1375</v>
      </c>
      <c r="B1292" s="4" t="s">
        <v>1286</v>
      </c>
      <c r="C1292" s="4" t="s">
        <v>1293</v>
      </c>
      <c r="D1292" s="4">
        <v>2</v>
      </c>
      <c r="E1292" s="4">
        <v>974</v>
      </c>
      <c r="F1292" s="4">
        <v>27226625</v>
      </c>
      <c r="G1292" s="4">
        <v>2</v>
      </c>
      <c r="H1292" s="4">
        <v>3</v>
      </c>
      <c r="I1292" s="4" t="s">
        <v>27</v>
      </c>
      <c r="J1292" s="4" t="s">
        <v>23</v>
      </c>
      <c r="K1292" s="4" t="s">
        <v>36</v>
      </c>
      <c r="L1292" s="9">
        <v>45689</v>
      </c>
      <c r="M1292" s="9" t="str">
        <f>TEXT(Source_data[[#This Row],[Listing_Date]],"mmm-yy")</f>
        <v>Feb-25</v>
      </c>
      <c r="N1292" s="4">
        <f t="shared" si="20"/>
        <v>27953.413757700204</v>
      </c>
      <c r="O1292" s="3" cm="1">
        <f t="array" ref="O1292">_xlfn.IFS(AND(K1292="Broker",J1292="Resale"),F1292*0.5,AND(K1292="Owner",J1292="Resale"),F1292*0,AND(K1292="Builder",J1292="Resale"),F1292*0.3,AND(J1292="New",K1292="Broker"),F1292*0.1,AND(J1292="New",K1292="Owner"),F1292*0,AND(J1292="New",K1292="Builder"),F1292*0.5)</f>
        <v>0</v>
      </c>
    </row>
    <row r="1293" spans="1:15" x14ac:dyDescent="0.3">
      <c r="A1293" s="8" t="s">
        <v>1376</v>
      </c>
      <c r="B1293" s="4" t="s">
        <v>1286</v>
      </c>
      <c r="C1293" s="4" t="s">
        <v>1299</v>
      </c>
      <c r="D1293" s="4">
        <v>2</v>
      </c>
      <c r="E1293" s="4">
        <v>1016</v>
      </c>
      <c r="F1293" s="4">
        <v>22267488</v>
      </c>
      <c r="G1293" s="4">
        <v>2</v>
      </c>
      <c r="H1293" s="4">
        <v>2</v>
      </c>
      <c r="I1293" s="4" t="s">
        <v>8</v>
      </c>
      <c r="J1293" s="4" t="s">
        <v>23</v>
      </c>
      <c r="K1293" s="4" t="s">
        <v>20</v>
      </c>
      <c r="L1293" s="9">
        <v>45460</v>
      </c>
      <c r="M1293" s="9" t="str">
        <f>TEXT(Source_data[[#This Row],[Listing_Date]],"mmm-yy")</f>
        <v>Jun-24</v>
      </c>
      <c r="N1293" s="4">
        <f t="shared" si="20"/>
        <v>21916.818897637797</v>
      </c>
      <c r="O1293" s="3" cm="1">
        <f t="array" ref="O1293">_xlfn.IFS(AND(K1293="Broker",J1293="Resale"),F1293*0.5,AND(K1293="Owner",J1293="Resale"),F1293*0,AND(K1293="Builder",J1293="Resale"),F1293*0.3,AND(J1293="New",K1293="Broker"),F1293*0.1,AND(J1293="New",K1293="Owner"),F1293*0,AND(J1293="New",K1293="Builder"),F1293*0.5)</f>
        <v>11133744</v>
      </c>
    </row>
    <row r="1294" spans="1:15" x14ac:dyDescent="0.3">
      <c r="A1294" s="8" t="s">
        <v>1377</v>
      </c>
      <c r="B1294" s="4" t="s">
        <v>1286</v>
      </c>
      <c r="C1294" s="4" t="s">
        <v>1293</v>
      </c>
      <c r="D1294" s="4">
        <v>3</v>
      </c>
      <c r="E1294" s="4">
        <v>1070</v>
      </c>
      <c r="F1294" s="4">
        <v>26012974</v>
      </c>
      <c r="G1294" s="4">
        <v>4</v>
      </c>
      <c r="H1294" s="4">
        <v>2</v>
      </c>
      <c r="I1294" s="4" t="s">
        <v>18</v>
      </c>
      <c r="J1294" s="4" t="s">
        <v>19</v>
      </c>
      <c r="K1294" s="4" t="s">
        <v>20</v>
      </c>
      <c r="L1294" s="9">
        <v>45296</v>
      </c>
      <c r="M1294" s="9" t="str">
        <f>TEXT(Source_data[[#This Row],[Listing_Date]],"mmm-yy")</f>
        <v>Jan-24</v>
      </c>
      <c r="N1294" s="4">
        <f t="shared" si="20"/>
        <v>24311.190654205606</v>
      </c>
      <c r="O1294" s="3" cm="1">
        <f t="array" ref="O1294">_xlfn.IFS(AND(K1294="Broker",J1294="Resale"),F1294*0.5,AND(K1294="Owner",J1294="Resale"),F1294*0,AND(K1294="Builder",J1294="Resale"),F1294*0.3,AND(J1294="New",K1294="Broker"),F1294*0.1,AND(J1294="New",K1294="Owner"),F1294*0,AND(J1294="New",K1294="Builder"),F1294*0.5)</f>
        <v>2601297.4000000004</v>
      </c>
    </row>
    <row r="1295" spans="1:15" x14ac:dyDescent="0.3">
      <c r="A1295" s="8" t="s">
        <v>1378</v>
      </c>
      <c r="B1295" s="4" t="s">
        <v>1286</v>
      </c>
      <c r="C1295" s="4" t="s">
        <v>1305</v>
      </c>
      <c r="D1295" s="4">
        <v>2</v>
      </c>
      <c r="E1295" s="4">
        <v>1165</v>
      </c>
      <c r="F1295" s="4">
        <v>22911378</v>
      </c>
      <c r="G1295" s="4">
        <v>3</v>
      </c>
      <c r="H1295" s="4">
        <v>2</v>
      </c>
      <c r="I1295" s="4" t="s">
        <v>8</v>
      </c>
      <c r="J1295" s="4" t="s">
        <v>19</v>
      </c>
      <c r="K1295" s="4" t="s">
        <v>24</v>
      </c>
      <c r="L1295" s="9">
        <v>45712</v>
      </c>
      <c r="M1295" s="9" t="str">
        <f>TEXT(Source_data[[#This Row],[Listing_Date]],"mmm-yy")</f>
        <v>Feb-25</v>
      </c>
      <c r="N1295" s="4">
        <f t="shared" si="20"/>
        <v>19666.418884120172</v>
      </c>
      <c r="O1295" s="3" cm="1">
        <f t="array" ref="O1295">_xlfn.IFS(AND(K1295="Broker",J1295="Resale"),F1295*0.5,AND(K1295="Owner",J1295="Resale"),F1295*0,AND(K1295="Builder",J1295="Resale"),F1295*0.3,AND(J1295="New",K1295="Broker"),F1295*0.1,AND(J1295="New",K1295="Owner"),F1295*0,AND(J1295="New",K1295="Builder"),F1295*0.5)</f>
        <v>11455689</v>
      </c>
    </row>
    <row r="1296" spans="1:15" x14ac:dyDescent="0.3">
      <c r="A1296" s="8" t="s">
        <v>1379</v>
      </c>
      <c r="B1296" s="4" t="s">
        <v>1286</v>
      </c>
      <c r="C1296" s="4" t="s">
        <v>1289</v>
      </c>
      <c r="D1296" s="4">
        <v>2</v>
      </c>
      <c r="E1296" s="4">
        <v>1416</v>
      </c>
      <c r="F1296" s="4">
        <v>34898753</v>
      </c>
      <c r="G1296" s="4">
        <v>2</v>
      </c>
      <c r="H1296" s="4">
        <v>2</v>
      </c>
      <c r="I1296" s="4" t="s">
        <v>8</v>
      </c>
      <c r="J1296" s="4" t="s">
        <v>19</v>
      </c>
      <c r="K1296" s="4" t="s">
        <v>36</v>
      </c>
      <c r="L1296" s="9">
        <v>45073</v>
      </c>
      <c r="M1296" s="9" t="str">
        <f>TEXT(Source_data[[#This Row],[Listing_Date]],"mmm-yy")</f>
        <v>May-23</v>
      </c>
      <c r="N1296" s="4">
        <f t="shared" si="20"/>
        <v>24646.012005649718</v>
      </c>
      <c r="O1296" s="3" cm="1">
        <f t="array" ref="O1296">_xlfn.IFS(AND(K1296="Broker",J1296="Resale"),F1296*0.5,AND(K1296="Owner",J1296="Resale"),F1296*0,AND(K1296="Builder",J1296="Resale"),F1296*0.3,AND(J1296="New",K1296="Broker"),F1296*0.1,AND(J1296="New",K1296="Owner"),F1296*0,AND(J1296="New",K1296="Builder"),F1296*0.5)</f>
        <v>0</v>
      </c>
    </row>
    <row r="1297" spans="1:15" x14ac:dyDescent="0.3">
      <c r="A1297" s="8" t="s">
        <v>1380</v>
      </c>
      <c r="B1297" s="4" t="s">
        <v>1286</v>
      </c>
      <c r="C1297" s="4" t="s">
        <v>1305</v>
      </c>
      <c r="D1297" s="4">
        <v>2</v>
      </c>
      <c r="E1297" s="4">
        <v>1170</v>
      </c>
      <c r="F1297" s="4">
        <v>28369290</v>
      </c>
      <c r="G1297" s="4">
        <v>2</v>
      </c>
      <c r="H1297" s="4">
        <v>2</v>
      </c>
      <c r="I1297" s="4" t="s">
        <v>18</v>
      </c>
      <c r="J1297" s="4" t="s">
        <v>23</v>
      </c>
      <c r="K1297" s="4" t="s">
        <v>24</v>
      </c>
      <c r="L1297" s="9">
        <v>45392</v>
      </c>
      <c r="M1297" s="9" t="str">
        <f>TEXT(Source_data[[#This Row],[Listing_Date]],"mmm-yy")</f>
        <v>Apr-24</v>
      </c>
      <c r="N1297" s="4">
        <f t="shared" si="20"/>
        <v>24247.25641025641</v>
      </c>
      <c r="O1297" s="3" cm="1">
        <f t="array" ref="O1297">_xlfn.IFS(AND(K1297="Broker",J1297="Resale"),F1297*0.5,AND(K1297="Owner",J1297="Resale"),F1297*0,AND(K1297="Builder",J1297="Resale"),F1297*0.3,AND(J1297="New",K1297="Broker"),F1297*0.1,AND(J1297="New",K1297="Owner"),F1297*0,AND(J1297="New",K1297="Builder"),F1297*0.5)</f>
        <v>8510787</v>
      </c>
    </row>
    <row r="1298" spans="1:15" x14ac:dyDescent="0.3">
      <c r="A1298" s="8" t="s">
        <v>1381</v>
      </c>
      <c r="B1298" s="4" t="s">
        <v>1286</v>
      </c>
      <c r="C1298" s="4" t="s">
        <v>1287</v>
      </c>
      <c r="D1298" s="4">
        <v>2</v>
      </c>
      <c r="E1298" s="4">
        <v>655</v>
      </c>
      <c r="F1298" s="4">
        <v>16030190</v>
      </c>
      <c r="G1298" s="4">
        <v>2</v>
      </c>
      <c r="H1298" s="4">
        <v>1</v>
      </c>
      <c r="I1298" s="4" t="s">
        <v>8</v>
      </c>
      <c r="J1298" s="4" t="s">
        <v>23</v>
      </c>
      <c r="K1298" s="4" t="s">
        <v>24</v>
      </c>
      <c r="L1298" s="9">
        <v>45815</v>
      </c>
      <c r="M1298" s="9" t="str">
        <f>TEXT(Source_data[[#This Row],[Listing_Date]],"mmm-yy")</f>
        <v>Jun-25</v>
      </c>
      <c r="N1298" s="4">
        <f t="shared" si="20"/>
        <v>24473.572519083969</v>
      </c>
      <c r="O1298" s="3" cm="1">
        <f t="array" ref="O1298">_xlfn.IFS(AND(K1298="Broker",J1298="Resale"),F1298*0.5,AND(K1298="Owner",J1298="Resale"),F1298*0,AND(K1298="Builder",J1298="Resale"),F1298*0.3,AND(J1298="New",K1298="Broker"),F1298*0.1,AND(J1298="New",K1298="Owner"),F1298*0,AND(J1298="New",K1298="Builder"),F1298*0.5)</f>
        <v>4809057</v>
      </c>
    </row>
    <row r="1299" spans="1:15" x14ac:dyDescent="0.3">
      <c r="A1299" s="8" t="s">
        <v>1382</v>
      </c>
      <c r="B1299" s="4" t="s">
        <v>1286</v>
      </c>
      <c r="C1299" s="4" t="s">
        <v>1305</v>
      </c>
      <c r="D1299" s="4">
        <v>2</v>
      </c>
      <c r="E1299" s="4">
        <v>753</v>
      </c>
      <c r="F1299" s="4">
        <v>17643915</v>
      </c>
      <c r="G1299" s="4">
        <v>2</v>
      </c>
      <c r="H1299" s="4">
        <v>2</v>
      </c>
      <c r="I1299" s="4" t="s">
        <v>27</v>
      </c>
      <c r="J1299" s="4" t="s">
        <v>19</v>
      </c>
      <c r="K1299" s="4" t="s">
        <v>24</v>
      </c>
      <c r="L1299" s="9">
        <v>45257</v>
      </c>
      <c r="M1299" s="9" t="str">
        <f>TEXT(Source_data[[#This Row],[Listing_Date]],"mmm-yy")</f>
        <v>Nov-23</v>
      </c>
      <c r="N1299" s="4">
        <f t="shared" si="20"/>
        <v>23431.494023904383</v>
      </c>
      <c r="O1299" s="3" cm="1">
        <f t="array" ref="O1299">_xlfn.IFS(AND(K1299="Broker",J1299="Resale"),F1299*0.5,AND(K1299="Owner",J1299="Resale"),F1299*0,AND(K1299="Builder",J1299="Resale"),F1299*0.3,AND(J1299="New",K1299="Broker"),F1299*0.1,AND(J1299="New",K1299="Owner"),F1299*0,AND(J1299="New",K1299="Builder"),F1299*0.5)</f>
        <v>8821957.5</v>
      </c>
    </row>
    <row r="1300" spans="1:15" x14ac:dyDescent="0.3">
      <c r="A1300" s="8" t="s">
        <v>1383</v>
      </c>
      <c r="B1300" s="4" t="s">
        <v>1286</v>
      </c>
      <c r="C1300" s="4" t="s">
        <v>1293</v>
      </c>
      <c r="D1300" s="4">
        <v>2</v>
      </c>
      <c r="E1300" s="4">
        <v>527</v>
      </c>
      <c r="F1300" s="4">
        <v>10461181</v>
      </c>
      <c r="G1300" s="4">
        <v>2</v>
      </c>
      <c r="H1300" s="4">
        <v>2</v>
      </c>
      <c r="I1300" s="4" t="s">
        <v>18</v>
      </c>
      <c r="J1300" s="4" t="s">
        <v>23</v>
      </c>
      <c r="K1300" s="4" t="s">
        <v>24</v>
      </c>
      <c r="L1300" s="9">
        <v>45887</v>
      </c>
      <c r="M1300" s="9" t="str">
        <f>TEXT(Source_data[[#This Row],[Listing_Date]],"mmm-yy")</f>
        <v>Aug-25</v>
      </c>
      <c r="N1300" s="4">
        <f t="shared" si="20"/>
        <v>19850.438330170778</v>
      </c>
      <c r="O1300" s="3" cm="1">
        <f t="array" ref="O1300">_xlfn.IFS(AND(K1300="Broker",J1300="Resale"),F1300*0.5,AND(K1300="Owner",J1300="Resale"),F1300*0,AND(K1300="Builder",J1300="Resale"),F1300*0.3,AND(J1300="New",K1300="Broker"),F1300*0.1,AND(J1300="New",K1300="Owner"),F1300*0,AND(J1300="New",K1300="Builder"),F1300*0.5)</f>
        <v>3138354.3</v>
      </c>
    </row>
    <row r="1301" spans="1:15" x14ac:dyDescent="0.3">
      <c r="A1301" s="8" t="s">
        <v>1384</v>
      </c>
      <c r="B1301" s="4" t="s">
        <v>1286</v>
      </c>
      <c r="C1301" s="4" t="s">
        <v>1287</v>
      </c>
      <c r="D1301" s="4">
        <v>2</v>
      </c>
      <c r="E1301" s="4">
        <v>876</v>
      </c>
      <c r="F1301" s="4">
        <v>15802406</v>
      </c>
      <c r="G1301" s="4">
        <v>1</v>
      </c>
      <c r="H1301" s="4">
        <v>2</v>
      </c>
      <c r="I1301" s="4" t="s">
        <v>8</v>
      </c>
      <c r="J1301" s="4" t="s">
        <v>23</v>
      </c>
      <c r="K1301" s="4" t="s">
        <v>20</v>
      </c>
      <c r="L1301" s="9">
        <v>45833</v>
      </c>
      <c r="M1301" s="9" t="str">
        <f>TEXT(Source_data[[#This Row],[Listing_Date]],"mmm-yy")</f>
        <v>Jun-25</v>
      </c>
      <c r="N1301" s="4">
        <f t="shared" si="20"/>
        <v>18039.276255707762</v>
      </c>
      <c r="O1301" s="3" cm="1">
        <f t="array" ref="O1301">_xlfn.IFS(AND(K1301="Broker",J1301="Resale"),F1301*0.5,AND(K1301="Owner",J1301="Resale"),F1301*0,AND(K1301="Builder",J1301="Resale"),F1301*0.3,AND(J1301="New",K1301="Broker"),F1301*0.1,AND(J1301="New",K1301="Owner"),F1301*0,AND(J1301="New",K1301="Builder"),F1301*0.5)</f>
        <v>7901203</v>
      </c>
    </row>
    <row r="1302" spans="1:15" x14ac:dyDescent="0.3">
      <c r="A1302" s="8" t="s">
        <v>1385</v>
      </c>
      <c r="B1302" s="4" t="s">
        <v>1286</v>
      </c>
      <c r="C1302" s="4" t="s">
        <v>1293</v>
      </c>
      <c r="D1302" s="4">
        <v>2</v>
      </c>
      <c r="E1302" s="4">
        <v>1381</v>
      </c>
      <c r="F1302" s="4">
        <v>26824038</v>
      </c>
      <c r="G1302" s="4">
        <v>2</v>
      </c>
      <c r="H1302" s="4">
        <v>2</v>
      </c>
      <c r="I1302" s="4" t="s">
        <v>8</v>
      </c>
      <c r="J1302" s="4" t="s">
        <v>23</v>
      </c>
      <c r="K1302" s="4" t="s">
        <v>24</v>
      </c>
      <c r="L1302" s="9">
        <v>45184</v>
      </c>
      <c r="M1302" s="9" t="str">
        <f>TEXT(Source_data[[#This Row],[Listing_Date]],"mmm-yy")</f>
        <v>Sep-23</v>
      </c>
      <c r="N1302" s="4">
        <f t="shared" si="20"/>
        <v>19423.633598841418</v>
      </c>
      <c r="O1302" s="3" cm="1">
        <f t="array" ref="O1302">_xlfn.IFS(AND(K1302="Broker",J1302="Resale"),F1302*0.5,AND(K1302="Owner",J1302="Resale"),F1302*0,AND(K1302="Builder",J1302="Resale"),F1302*0.3,AND(J1302="New",K1302="Broker"),F1302*0.1,AND(J1302="New",K1302="Owner"),F1302*0,AND(J1302="New",K1302="Builder"),F1302*0.5)</f>
        <v>8047211.3999999994</v>
      </c>
    </row>
    <row r="1303" spans="1:15" x14ac:dyDescent="0.3">
      <c r="A1303" s="8" t="s">
        <v>1386</v>
      </c>
      <c r="B1303" s="4" t="s">
        <v>1286</v>
      </c>
      <c r="C1303" s="4" t="s">
        <v>1305</v>
      </c>
      <c r="D1303" s="4">
        <v>2</v>
      </c>
      <c r="E1303" s="4">
        <v>554</v>
      </c>
      <c r="F1303" s="4">
        <v>12266209</v>
      </c>
      <c r="G1303" s="4">
        <v>2</v>
      </c>
      <c r="H1303" s="4">
        <v>3</v>
      </c>
      <c r="I1303" s="4" t="s">
        <v>27</v>
      </c>
      <c r="J1303" s="4" t="s">
        <v>19</v>
      </c>
      <c r="K1303" s="4" t="s">
        <v>20</v>
      </c>
      <c r="L1303" s="9">
        <v>45796</v>
      </c>
      <c r="M1303" s="9" t="str">
        <f>TEXT(Source_data[[#This Row],[Listing_Date]],"mmm-yy")</f>
        <v>May-25</v>
      </c>
      <c r="N1303" s="4">
        <f t="shared" si="20"/>
        <v>22141.171480144403</v>
      </c>
      <c r="O1303" s="3" cm="1">
        <f t="array" ref="O1303">_xlfn.IFS(AND(K1303="Broker",J1303="Resale"),F1303*0.5,AND(K1303="Owner",J1303="Resale"),F1303*0,AND(K1303="Builder",J1303="Resale"),F1303*0.3,AND(J1303="New",K1303="Broker"),F1303*0.1,AND(J1303="New",K1303="Owner"),F1303*0,AND(J1303="New",K1303="Builder"),F1303*0.5)</f>
        <v>1226620.9000000001</v>
      </c>
    </row>
    <row r="1304" spans="1:15" x14ac:dyDescent="0.3">
      <c r="A1304" s="8" t="s">
        <v>1387</v>
      </c>
      <c r="B1304" s="4" t="s">
        <v>1286</v>
      </c>
      <c r="C1304" s="4" t="s">
        <v>1305</v>
      </c>
      <c r="D1304" s="4">
        <v>5</v>
      </c>
      <c r="E1304" s="4">
        <v>3052</v>
      </c>
      <c r="F1304" s="4">
        <v>65931181</v>
      </c>
      <c r="G1304" s="4">
        <v>2</v>
      </c>
      <c r="H1304" s="4">
        <v>1</v>
      </c>
      <c r="I1304" s="4" t="s">
        <v>8</v>
      </c>
      <c r="J1304" s="4" t="s">
        <v>23</v>
      </c>
      <c r="K1304" s="4" t="s">
        <v>20</v>
      </c>
      <c r="L1304" s="9">
        <v>45094</v>
      </c>
      <c r="M1304" s="9" t="str">
        <f>TEXT(Source_data[[#This Row],[Listing_Date]],"mmm-yy")</f>
        <v>Jun-23</v>
      </c>
      <c r="N1304" s="4">
        <f t="shared" si="20"/>
        <v>21602.615006553078</v>
      </c>
      <c r="O1304" s="3" cm="1">
        <f t="array" ref="O1304">_xlfn.IFS(AND(K1304="Broker",J1304="Resale"),F1304*0.5,AND(K1304="Owner",J1304="Resale"),F1304*0,AND(K1304="Builder",J1304="Resale"),F1304*0.3,AND(J1304="New",K1304="Broker"),F1304*0.1,AND(J1304="New",K1304="Owner"),F1304*0,AND(J1304="New",K1304="Builder"),F1304*0.5)</f>
        <v>32965590.5</v>
      </c>
    </row>
    <row r="1305" spans="1:15" x14ac:dyDescent="0.3">
      <c r="A1305" s="8" t="s">
        <v>1388</v>
      </c>
      <c r="B1305" s="4" t="s">
        <v>1286</v>
      </c>
      <c r="C1305" s="4" t="s">
        <v>1299</v>
      </c>
      <c r="D1305" s="4">
        <v>2</v>
      </c>
      <c r="E1305" s="4">
        <v>1124</v>
      </c>
      <c r="F1305" s="4">
        <v>24206116</v>
      </c>
      <c r="G1305" s="4">
        <v>1</v>
      </c>
      <c r="H1305" s="4">
        <v>2</v>
      </c>
      <c r="I1305" s="4" t="s">
        <v>27</v>
      </c>
      <c r="J1305" s="4" t="s">
        <v>23</v>
      </c>
      <c r="K1305" s="4" t="s">
        <v>24</v>
      </c>
      <c r="L1305" s="9">
        <v>45902</v>
      </c>
      <c r="M1305" s="9" t="str">
        <f>TEXT(Source_data[[#This Row],[Listing_Date]],"mmm-yy")</f>
        <v>Sep-25</v>
      </c>
      <c r="N1305" s="4">
        <f t="shared" si="20"/>
        <v>21535.690391459073</v>
      </c>
      <c r="O1305" s="3" cm="1">
        <f t="array" ref="O1305">_xlfn.IFS(AND(K1305="Broker",J1305="Resale"),F1305*0.5,AND(K1305="Owner",J1305="Resale"),F1305*0,AND(K1305="Builder",J1305="Resale"),F1305*0.3,AND(J1305="New",K1305="Broker"),F1305*0.1,AND(J1305="New",K1305="Owner"),F1305*0,AND(J1305="New",K1305="Builder"),F1305*0.5)</f>
        <v>7261834.7999999998</v>
      </c>
    </row>
    <row r="1306" spans="1:15" x14ac:dyDescent="0.3">
      <c r="A1306" s="8" t="s">
        <v>1389</v>
      </c>
      <c r="B1306" s="4" t="s">
        <v>1286</v>
      </c>
      <c r="C1306" s="4" t="s">
        <v>1289</v>
      </c>
      <c r="D1306" s="4">
        <v>2</v>
      </c>
      <c r="E1306" s="4">
        <v>1083</v>
      </c>
      <c r="F1306" s="4">
        <v>31174987</v>
      </c>
      <c r="G1306" s="4">
        <v>3</v>
      </c>
      <c r="H1306" s="4">
        <v>2</v>
      </c>
      <c r="I1306" s="4" t="s">
        <v>18</v>
      </c>
      <c r="J1306" s="4" t="s">
        <v>23</v>
      </c>
      <c r="K1306" s="4" t="s">
        <v>24</v>
      </c>
      <c r="L1306" s="9">
        <v>45127</v>
      </c>
      <c r="M1306" s="9" t="str">
        <f>TEXT(Source_data[[#This Row],[Listing_Date]],"mmm-yy")</f>
        <v>Jul-23</v>
      </c>
      <c r="N1306" s="4">
        <f t="shared" si="20"/>
        <v>28785.768236380423</v>
      </c>
      <c r="O1306" s="3" cm="1">
        <f t="array" ref="O1306">_xlfn.IFS(AND(K1306="Broker",J1306="Resale"),F1306*0.5,AND(K1306="Owner",J1306="Resale"),F1306*0,AND(K1306="Builder",J1306="Resale"),F1306*0.3,AND(J1306="New",K1306="Broker"),F1306*0.1,AND(J1306="New",K1306="Owner"),F1306*0,AND(J1306="New",K1306="Builder"),F1306*0.5)</f>
        <v>9352496.0999999996</v>
      </c>
    </row>
    <row r="1307" spans="1:15" x14ac:dyDescent="0.3">
      <c r="A1307" s="8" t="s">
        <v>1390</v>
      </c>
      <c r="B1307" s="4" t="s">
        <v>1286</v>
      </c>
      <c r="C1307" s="4" t="s">
        <v>1289</v>
      </c>
      <c r="D1307" s="4">
        <v>2</v>
      </c>
      <c r="E1307" s="4">
        <v>1204</v>
      </c>
      <c r="F1307" s="4">
        <v>12066956</v>
      </c>
      <c r="G1307" s="4">
        <v>2</v>
      </c>
      <c r="H1307" s="4">
        <v>2</v>
      </c>
      <c r="I1307" s="4" t="s">
        <v>8</v>
      </c>
      <c r="J1307" s="4" t="s">
        <v>19</v>
      </c>
      <c r="K1307" s="4" t="s">
        <v>24</v>
      </c>
      <c r="L1307" s="9">
        <v>45406</v>
      </c>
      <c r="M1307" s="9" t="str">
        <f>TEXT(Source_data[[#This Row],[Listing_Date]],"mmm-yy")</f>
        <v>Apr-24</v>
      </c>
      <c r="N1307" s="4">
        <f t="shared" si="20"/>
        <v>10022.388704318937</v>
      </c>
      <c r="O1307" s="3" cm="1">
        <f t="array" ref="O1307">_xlfn.IFS(AND(K1307="Broker",J1307="Resale"),F1307*0.5,AND(K1307="Owner",J1307="Resale"),F1307*0,AND(K1307="Builder",J1307="Resale"),F1307*0.3,AND(J1307="New",K1307="Broker"),F1307*0.1,AND(J1307="New",K1307="Owner"),F1307*0,AND(J1307="New",K1307="Builder"),F1307*0.5)</f>
        <v>6033478</v>
      </c>
    </row>
    <row r="1308" spans="1:15" x14ac:dyDescent="0.3">
      <c r="A1308" s="8" t="s">
        <v>1391</v>
      </c>
      <c r="B1308" s="4" t="s">
        <v>1286</v>
      </c>
      <c r="C1308" s="4" t="s">
        <v>1305</v>
      </c>
      <c r="D1308" s="4">
        <v>3</v>
      </c>
      <c r="E1308" s="4">
        <v>1017</v>
      </c>
      <c r="F1308" s="4">
        <v>19113846</v>
      </c>
      <c r="G1308" s="4">
        <v>2</v>
      </c>
      <c r="H1308" s="4">
        <v>2</v>
      </c>
      <c r="I1308" s="4" t="s">
        <v>8</v>
      </c>
      <c r="J1308" s="4" t="s">
        <v>19</v>
      </c>
      <c r="K1308" s="4" t="s">
        <v>36</v>
      </c>
      <c r="L1308" s="9">
        <v>45104</v>
      </c>
      <c r="M1308" s="9" t="str">
        <f>TEXT(Source_data[[#This Row],[Listing_Date]],"mmm-yy")</f>
        <v>Jun-23</v>
      </c>
      <c r="N1308" s="4">
        <f t="shared" si="20"/>
        <v>18794.342182890854</v>
      </c>
      <c r="O1308" s="3" cm="1">
        <f t="array" ref="O1308">_xlfn.IFS(AND(K1308="Broker",J1308="Resale"),F1308*0.5,AND(K1308="Owner",J1308="Resale"),F1308*0,AND(K1308="Builder",J1308="Resale"),F1308*0.3,AND(J1308="New",K1308="Broker"),F1308*0.1,AND(J1308="New",K1308="Owner"),F1308*0,AND(J1308="New",K1308="Builder"),F1308*0.5)</f>
        <v>0</v>
      </c>
    </row>
    <row r="1309" spans="1:15" x14ac:dyDescent="0.3">
      <c r="A1309" s="8" t="s">
        <v>1392</v>
      </c>
      <c r="B1309" s="4" t="s">
        <v>1286</v>
      </c>
      <c r="C1309" s="4" t="s">
        <v>1305</v>
      </c>
      <c r="D1309" s="4">
        <v>2</v>
      </c>
      <c r="E1309" s="4">
        <v>1330</v>
      </c>
      <c r="F1309" s="4">
        <v>25367822</v>
      </c>
      <c r="G1309" s="4">
        <v>3</v>
      </c>
      <c r="H1309" s="4">
        <v>2</v>
      </c>
      <c r="I1309" s="4" t="s">
        <v>18</v>
      </c>
      <c r="J1309" s="4" t="s">
        <v>19</v>
      </c>
      <c r="K1309" s="4" t="s">
        <v>20</v>
      </c>
      <c r="L1309" s="9">
        <v>45735</v>
      </c>
      <c r="M1309" s="9" t="str">
        <f>TEXT(Source_data[[#This Row],[Listing_Date]],"mmm-yy")</f>
        <v>Mar-25</v>
      </c>
      <c r="N1309" s="4">
        <f t="shared" si="20"/>
        <v>19073.550375939849</v>
      </c>
      <c r="O1309" s="3" cm="1">
        <f t="array" ref="O1309">_xlfn.IFS(AND(K1309="Broker",J1309="Resale"),F1309*0.5,AND(K1309="Owner",J1309="Resale"),F1309*0,AND(K1309="Builder",J1309="Resale"),F1309*0.3,AND(J1309="New",K1309="Broker"),F1309*0.1,AND(J1309="New",K1309="Owner"),F1309*0,AND(J1309="New",K1309="Builder"),F1309*0.5)</f>
        <v>2536782.2000000002</v>
      </c>
    </row>
    <row r="1310" spans="1:15" x14ac:dyDescent="0.3">
      <c r="A1310" s="8" t="s">
        <v>1393</v>
      </c>
      <c r="B1310" s="4" t="s">
        <v>1286</v>
      </c>
      <c r="C1310" s="4" t="s">
        <v>1291</v>
      </c>
      <c r="D1310" s="4">
        <v>2</v>
      </c>
      <c r="E1310" s="4">
        <v>987</v>
      </c>
      <c r="F1310" s="4">
        <v>27104592</v>
      </c>
      <c r="G1310" s="4">
        <v>2</v>
      </c>
      <c r="H1310" s="4">
        <v>2</v>
      </c>
      <c r="I1310" s="4" t="s">
        <v>8</v>
      </c>
      <c r="J1310" s="4" t="s">
        <v>23</v>
      </c>
      <c r="K1310" s="4" t="s">
        <v>36</v>
      </c>
      <c r="L1310" s="9">
        <v>45459</v>
      </c>
      <c r="M1310" s="9" t="str">
        <f>TEXT(Source_data[[#This Row],[Listing_Date]],"mmm-yy")</f>
        <v>Jun-24</v>
      </c>
      <c r="N1310" s="4">
        <f t="shared" si="20"/>
        <v>27461.592705167172</v>
      </c>
      <c r="O1310" s="3" cm="1">
        <f t="array" ref="O1310">_xlfn.IFS(AND(K1310="Broker",J1310="Resale"),F1310*0.5,AND(K1310="Owner",J1310="Resale"),F1310*0,AND(K1310="Builder",J1310="Resale"),F1310*0.3,AND(J1310="New",K1310="Broker"),F1310*0.1,AND(J1310="New",K1310="Owner"),F1310*0,AND(J1310="New",K1310="Builder"),F1310*0.5)</f>
        <v>0</v>
      </c>
    </row>
    <row r="1311" spans="1:15" x14ac:dyDescent="0.3">
      <c r="A1311" s="8" t="s">
        <v>1394</v>
      </c>
      <c r="B1311" s="4" t="s">
        <v>1286</v>
      </c>
      <c r="C1311" s="4" t="s">
        <v>1287</v>
      </c>
      <c r="D1311" s="4">
        <v>2</v>
      </c>
      <c r="E1311" s="4">
        <v>1070</v>
      </c>
      <c r="F1311" s="4">
        <v>24272415</v>
      </c>
      <c r="G1311" s="4">
        <v>1</v>
      </c>
      <c r="H1311" s="4">
        <v>3</v>
      </c>
      <c r="I1311" s="4" t="s">
        <v>8</v>
      </c>
      <c r="J1311" s="4" t="s">
        <v>19</v>
      </c>
      <c r="K1311" s="4" t="s">
        <v>24</v>
      </c>
      <c r="L1311" s="9">
        <v>45030</v>
      </c>
      <c r="M1311" s="9" t="str">
        <f>TEXT(Source_data[[#This Row],[Listing_Date]],"mmm-yy")</f>
        <v>Apr-23</v>
      </c>
      <c r="N1311" s="4">
        <f t="shared" si="20"/>
        <v>22684.5</v>
      </c>
      <c r="O1311" s="3" cm="1">
        <f t="array" ref="O1311">_xlfn.IFS(AND(K1311="Broker",J1311="Resale"),F1311*0.5,AND(K1311="Owner",J1311="Resale"),F1311*0,AND(K1311="Builder",J1311="Resale"),F1311*0.3,AND(J1311="New",K1311="Broker"),F1311*0.1,AND(J1311="New",K1311="Owner"),F1311*0,AND(J1311="New",K1311="Builder"),F1311*0.5)</f>
        <v>12136207.5</v>
      </c>
    </row>
    <row r="1312" spans="1:15" x14ac:dyDescent="0.3">
      <c r="A1312" s="8" t="s">
        <v>1395</v>
      </c>
      <c r="B1312" s="4" t="s">
        <v>1286</v>
      </c>
      <c r="C1312" s="4" t="s">
        <v>1299</v>
      </c>
      <c r="D1312" s="4">
        <v>1</v>
      </c>
      <c r="E1312" s="4">
        <v>502</v>
      </c>
      <c r="F1312" s="4">
        <v>11559505</v>
      </c>
      <c r="G1312" s="4">
        <v>2</v>
      </c>
      <c r="H1312" s="4">
        <v>2</v>
      </c>
      <c r="I1312" s="4" t="s">
        <v>8</v>
      </c>
      <c r="J1312" s="4" t="s">
        <v>19</v>
      </c>
      <c r="K1312" s="4" t="s">
        <v>36</v>
      </c>
      <c r="L1312" s="9">
        <v>45346</v>
      </c>
      <c r="M1312" s="9" t="str">
        <f>TEXT(Source_data[[#This Row],[Listing_Date]],"mmm-yy")</f>
        <v>Feb-24</v>
      </c>
      <c r="N1312" s="4">
        <f t="shared" si="20"/>
        <v>23026.902390438248</v>
      </c>
      <c r="O1312" s="3" cm="1">
        <f t="array" ref="O1312">_xlfn.IFS(AND(K1312="Broker",J1312="Resale"),F1312*0.5,AND(K1312="Owner",J1312="Resale"),F1312*0,AND(K1312="Builder",J1312="Resale"),F1312*0.3,AND(J1312="New",K1312="Broker"),F1312*0.1,AND(J1312="New",K1312="Owner"),F1312*0,AND(J1312="New",K1312="Builder"),F1312*0.5)</f>
        <v>0</v>
      </c>
    </row>
    <row r="1313" spans="1:15" x14ac:dyDescent="0.3">
      <c r="A1313" s="8" t="s">
        <v>1396</v>
      </c>
      <c r="B1313" s="4" t="s">
        <v>1286</v>
      </c>
      <c r="C1313" s="4" t="s">
        <v>1289</v>
      </c>
      <c r="D1313" s="4">
        <v>2</v>
      </c>
      <c r="E1313" s="4">
        <v>603</v>
      </c>
      <c r="F1313" s="4">
        <v>13469599</v>
      </c>
      <c r="G1313" s="4">
        <v>2</v>
      </c>
      <c r="H1313" s="4">
        <v>1</v>
      </c>
      <c r="I1313" s="4" t="s">
        <v>27</v>
      </c>
      <c r="J1313" s="4" t="s">
        <v>19</v>
      </c>
      <c r="K1313" s="4" t="s">
        <v>24</v>
      </c>
      <c r="L1313" s="9">
        <v>45752</v>
      </c>
      <c r="M1313" s="9" t="str">
        <f>TEXT(Source_data[[#This Row],[Listing_Date]],"mmm-yy")</f>
        <v>Apr-25</v>
      </c>
      <c r="N1313" s="4">
        <f t="shared" si="20"/>
        <v>22337.643449419567</v>
      </c>
      <c r="O1313" s="3" cm="1">
        <f t="array" ref="O1313">_xlfn.IFS(AND(K1313="Broker",J1313="Resale"),F1313*0.5,AND(K1313="Owner",J1313="Resale"),F1313*0,AND(K1313="Builder",J1313="Resale"),F1313*0.3,AND(J1313="New",K1313="Broker"),F1313*0.1,AND(J1313="New",K1313="Owner"),F1313*0,AND(J1313="New",K1313="Builder"),F1313*0.5)</f>
        <v>6734799.5</v>
      </c>
    </row>
    <row r="1314" spans="1:15" x14ac:dyDescent="0.3">
      <c r="A1314" s="8" t="s">
        <v>1397</v>
      </c>
      <c r="B1314" s="4" t="s">
        <v>1286</v>
      </c>
      <c r="C1314" s="4" t="s">
        <v>1291</v>
      </c>
      <c r="D1314" s="4">
        <v>2</v>
      </c>
      <c r="E1314" s="4">
        <v>935</v>
      </c>
      <c r="F1314" s="4">
        <v>18691028</v>
      </c>
      <c r="G1314" s="4">
        <v>1</v>
      </c>
      <c r="H1314" s="4">
        <v>1</v>
      </c>
      <c r="I1314" s="4" t="s">
        <v>8</v>
      </c>
      <c r="J1314" s="4" t="s">
        <v>19</v>
      </c>
      <c r="K1314" s="4" t="s">
        <v>24</v>
      </c>
      <c r="L1314" s="9">
        <v>45192</v>
      </c>
      <c r="M1314" s="9" t="str">
        <f>TEXT(Source_data[[#This Row],[Listing_Date]],"mmm-yy")</f>
        <v>Sep-23</v>
      </c>
      <c r="N1314" s="4">
        <f t="shared" si="20"/>
        <v>19990.404278074868</v>
      </c>
      <c r="O1314" s="3" cm="1">
        <f t="array" ref="O1314">_xlfn.IFS(AND(K1314="Broker",J1314="Resale"),F1314*0.5,AND(K1314="Owner",J1314="Resale"),F1314*0,AND(K1314="Builder",J1314="Resale"),F1314*0.3,AND(J1314="New",K1314="Broker"),F1314*0.1,AND(J1314="New",K1314="Owner"),F1314*0,AND(J1314="New",K1314="Builder"),F1314*0.5)</f>
        <v>9345514</v>
      </c>
    </row>
    <row r="1315" spans="1:15" x14ac:dyDescent="0.3">
      <c r="A1315" s="8" t="s">
        <v>1398</v>
      </c>
      <c r="B1315" s="4" t="s">
        <v>1286</v>
      </c>
      <c r="C1315" s="4" t="s">
        <v>1287</v>
      </c>
      <c r="D1315" s="4">
        <v>3</v>
      </c>
      <c r="E1315" s="4">
        <v>836</v>
      </c>
      <c r="F1315" s="4">
        <v>16627758</v>
      </c>
      <c r="G1315" s="4">
        <v>3</v>
      </c>
      <c r="H1315" s="4">
        <v>2</v>
      </c>
      <c r="I1315" s="4" t="s">
        <v>18</v>
      </c>
      <c r="J1315" s="4" t="s">
        <v>23</v>
      </c>
      <c r="K1315" s="4" t="s">
        <v>36</v>
      </c>
      <c r="L1315" s="9">
        <v>45242</v>
      </c>
      <c r="M1315" s="9" t="str">
        <f>TEXT(Source_data[[#This Row],[Listing_Date]],"mmm-yy")</f>
        <v>Nov-23</v>
      </c>
      <c r="N1315" s="4">
        <f t="shared" si="20"/>
        <v>19889.662679425837</v>
      </c>
      <c r="O1315" s="3" cm="1">
        <f t="array" ref="O1315">_xlfn.IFS(AND(K1315="Broker",J1315="Resale"),F1315*0.5,AND(K1315="Owner",J1315="Resale"),F1315*0,AND(K1315="Builder",J1315="Resale"),F1315*0.3,AND(J1315="New",K1315="Broker"),F1315*0.1,AND(J1315="New",K1315="Owner"),F1315*0,AND(J1315="New",K1315="Builder"),F1315*0.5)</f>
        <v>0</v>
      </c>
    </row>
    <row r="1316" spans="1:15" x14ac:dyDescent="0.3">
      <c r="A1316" s="8" t="s">
        <v>1399</v>
      </c>
      <c r="B1316" s="4" t="s">
        <v>1286</v>
      </c>
      <c r="C1316" s="4" t="s">
        <v>1289</v>
      </c>
      <c r="D1316" s="4">
        <v>3</v>
      </c>
      <c r="E1316" s="4">
        <v>1421</v>
      </c>
      <c r="F1316" s="4">
        <v>30018607</v>
      </c>
      <c r="G1316" s="4">
        <v>3</v>
      </c>
      <c r="H1316" s="4">
        <v>2</v>
      </c>
      <c r="I1316" s="4" t="s">
        <v>18</v>
      </c>
      <c r="J1316" s="4" t="s">
        <v>19</v>
      </c>
      <c r="K1316" s="4" t="s">
        <v>20</v>
      </c>
      <c r="L1316" s="9">
        <v>45264</v>
      </c>
      <c r="M1316" s="9" t="str">
        <f>TEXT(Source_data[[#This Row],[Listing_Date]],"mmm-yy")</f>
        <v>Dec-23</v>
      </c>
      <c r="N1316" s="4">
        <f t="shared" si="20"/>
        <v>21124.987332864181</v>
      </c>
      <c r="O1316" s="3" cm="1">
        <f t="array" ref="O1316">_xlfn.IFS(AND(K1316="Broker",J1316="Resale"),F1316*0.5,AND(K1316="Owner",J1316="Resale"),F1316*0,AND(K1316="Builder",J1316="Resale"),F1316*0.3,AND(J1316="New",K1316="Broker"),F1316*0.1,AND(J1316="New",K1316="Owner"),F1316*0,AND(J1316="New",K1316="Builder"),F1316*0.5)</f>
        <v>3001860.7</v>
      </c>
    </row>
    <row r="1317" spans="1:15" x14ac:dyDescent="0.3">
      <c r="A1317" s="8" t="s">
        <v>1400</v>
      </c>
      <c r="B1317" s="4" t="s">
        <v>1286</v>
      </c>
      <c r="C1317" s="4" t="s">
        <v>1291</v>
      </c>
      <c r="D1317" s="4">
        <v>4</v>
      </c>
      <c r="E1317" s="4">
        <v>2176</v>
      </c>
      <c r="F1317" s="4">
        <v>51065469</v>
      </c>
      <c r="G1317" s="4">
        <v>3</v>
      </c>
      <c r="H1317" s="4">
        <v>2</v>
      </c>
      <c r="I1317" s="4" t="s">
        <v>8</v>
      </c>
      <c r="J1317" s="4" t="s">
        <v>23</v>
      </c>
      <c r="K1317" s="4" t="s">
        <v>24</v>
      </c>
      <c r="L1317" s="9">
        <v>45484</v>
      </c>
      <c r="M1317" s="9" t="str">
        <f>TEXT(Source_data[[#This Row],[Listing_Date]],"mmm-yy")</f>
        <v>Jul-24</v>
      </c>
      <c r="N1317" s="4">
        <f t="shared" si="20"/>
        <v>23467.586856617647</v>
      </c>
      <c r="O1317" s="3" cm="1">
        <f t="array" ref="O1317">_xlfn.IFS(AND(K1317="Broker",J1317="Resale"),F1317*0.5,AND(K1317="Owner",J1317="Resale"),F1317*0,AND(K1317="Builder",J1317="Resale"),F1317*0.3,AND(J1317="New",K1317="Broker"),F1317*0.1,AND(J1317="New",K1317="Owner"),F1317*0,AND(J1317="New",K1317="Builder"),F1317*0.5)</f>
        <v>15319640.699999999</v>
      </c>
    </row>
    <row r="1318" spans="1:15" x14ac:dyDescent="0.3">
      <c r="A1318" s="8" t="s">
        <v>1401</v>
      </c>
      <c r="B1318" s="4" t="s">
        <v>1286</v>
      </c>
      <c r="C1318" s="4" t="s">
        <v>1291</v>
      </c>
      <c r="D1318" s="4">
        <v>3</v>
      </c>
      <c r="E1318" s="4">
        <v>1472</v>
      </c>
      <c r="F1318" s="4">
        <v>28842052</v>
      </c>
      <c r="G1318" s="4">
        <v>4</v>
      </c>
      <c r="H1318" s="4">
        <v>1</v>
      </c>
      <c r="I1318" s="4" t="s">
        <v>27</v>
      </c>
      <c r="J1318" s="4" t="s">
        <v>19</v>
      </c>
      <c r="K1318" s="4" t="s">
        <v>20</v>
      </c>
      <c r="L1318" s="9">
        <v>45489</v>
      </c>
      <c r="M1318" s="9" t="str">
        <f>TEXT(Source_data[[#This Row],[Listing_Date]],"mmm-yy")</f>
        <v>Jul-24</v>
      </c>
      <c r="N1318" s="4">
        <f t="shared" si="20"/>
        <v>19593.785326086956</v>
      </c>
      <c r="O1318" s="3" cm="1">
        <f t="array" ref="O1318">_xlfn.IFS(AND(K1318="Broker",J1318="Resale"),F1318*0.5,AND(K1318="Owner",J1318="Resale"),F1318*0,AND(K1318="Builder",J1318="Resale"),F1318*0.3,AND(J1318="New",K1318="Broker"),F1318*0.1,AND(J1318="New",K1318="Owner"),F1318*0,AND(J1318="New",K1318="Builder"),F1318*0.5)</f>
        <v>2884205.2</v>
      </c>
    </row>
    <row r="1319" spans="1:15" x14ac:dyDescent="0.3">
      <c r="A1319" s="8" t="s">
        <v>1402</v>
      </c>
      <c r="B1319" s="4" t="s">
        <v>1286</v>
      </c>
      <c r="C1319" s="4" t="s">
        <v>1289</v>
      </c>
      <c r="D1319" s="4">
        <v>1</v>
      </c>
      <c r="E1319" s="4">
        <v>579</v>
      </c>
      <c r="F1319" s="4">
        <v>10018390</v>
      </c>
      <c r="G1319" s="4">
        <v>1</v>
      </c>
      <c r="H1319" s="4">
        <v>1</v>
      </c>
      <c r="I1319" s="4" t="s">
        <v>27</v>
      </c>
      <c r="J1319" s="4" t="s">
        <v>19</v>
      </c>
      <c r="K1319" s="4" t="s">
        <v>24</v>
      </c>
      <c r="L1319" s="9">
        <v>45384</v>
      </c>
      <c r="M1319" s="9" t="str">
        <f>TEXT(Source_data[[#This Row],[Listing_Date]],"mmm-yy")</f>
        <v>Apr-24</v>
      </c>
      <c r="N1319" s="4">
        <f t="shared" si="20"/>
        <v>17302.918825561312</v>
      </c>
      <c r="O1319" s="3" cm="1">
        <f t="array" ref="O1319">_xlfn.IFS(AND(K1319="Broker",J1319="Resale"),F1319*0.5,AND(K1319="Owner",J1319="Resale"),F1319*0,AND(K1319="Builder",J1319="Resale"),F1319*0.3,AND(J1319="New",K1319="Broker"),F1319*0.1,AND(J1319="New",K1319="Owner"),F1319*0,AND(J1319="New",K1319="Builder"),F1319*0.5)</f>
        <v>5009195</v>
      </c>
    </row>
    <row r="1320" spans="1:15" x14ac:dyDescent="0.3">
      <c r="A1320" s="8" t="s">
        <v>1403</v>
      </c>
      <c r="B1320" s="4" t="s">
        <v>1286</v>
      </c>
      <c r="C1320" s="4" t="s">
        <v>1299</v>
      </c>
      <c r="D1320" s="4">
        <v>1</v>
      </c>
      <c r="E1320" s="4">
        <v>629</v>
      </c>
      <c r="F1320" s="4">
        <v>13364837</v>
      </c>
      <c r="G1320" s="4">
        <v>1</v>
      </c>
      <c r="H1320" s="4">
        <v>2</v>
      </c>
      <c r="I1320" s="4" t="s">
        <v>8</v>
      </c>
      <c r="J1320" s="4" t="s">
        <v>23</v>
      </c>
      <c r="K1320" s="4" t="s">
        <v>24</v>
      </c>
      <c r="L1320" s="9">
        <v>45799</v>
      </c>
      <c r="M1320" s="9" t="str">
        <f>TEXT(Source_data[[#This Row],[Listing_Date]],"mmm-yy")</f>
        <v>May-25</v>
      </c>
      <c r="N1320" s="4">
        <f t="shared" si="20"/>
        <v>21247.75357710652</v>
      </c>
      <c r="O1320" s="3" cm="1">
        <f t="array" ref="O1320">_xlfn.IFS(AND(K1320="Broker",J1320="Resale"),F1320*0.5,AND(K1320="Owner",J1320="Resale"),F1320*0,AND(K1320="Builder",J1320="Resale"),F1320*0.3,AND(J1320="New",K1320="Broker"),F1320*0.1,AND(J1320="New",K1320="Owner"),F1320*0,AND(J1320="New",K1320="Builder"),F1320*0.5)</f>
        <v>4009451.0999999996</v>
      </c>
    </row>
    <row r="1321" spans="1:15" x14ac:dyDescent="0.3">
      <c r="A1321" s="8" t="s">
        <v>1404</v>
      </c>
      <c r="B1321" s="4" t="s">
        <v>1286</v>
      </c>
      <c r="C1321" s="4" t="s">
        <v>1293</v>
      </c>
      <c r="D1321" s="4">
        <v>1</v>
      </c>
      <c r="E1321" s="4">
        <v>420</v>
      </c>
      <c r="F1321" s="4">
        <v>9316987</v>
      </c>
      <c r="G1321" s="4">
        <v>1</v>
      </c>
      <c r="H1321" s="4">
        <v>2</v>
      </c>
      <c r="I1321" s="4" t="s">
        <v>18</v>
      </c>
      <c r="J1321" s="4" t="s">
        <v>19</v>
      </c>
      <c r="K1321" s="4" t="s">
        <v>24</v>
      </c>
      <c r="L1321" s="9">
        <v>45728</v>
      </c>
      <c r="M1321" s="9" t="str">
        <f>TEXT(Source_data[[#This Row],[Listing_Date]],"mmm-yy")</f>
        <v>Mar-25</v>
      </c>
      <c r="N1321" s="4">
        <f t="shared" si="20"/>
        <v>22183.30238095238</v>
      </c>
      <c r="O1321" s="3" cm="1">
        <f t="array" ref="O1321">_xlfn.IFS(AND(K1321="Broker",J1321="Resale"),F1321*0.5,AND(K1321="Owner",J1321="Resale"),F1321*0,AND(K1321="Builder",J1321="Resale"),F1321*0.3,AND(J1321="New",K1321="Broker"),F1321*0.1,AND(J1321="New",K1321="Owner"),F1321*0,AND(J1321="New",K1321="Builder"),F1321*0.5)</f>
        <v>4658493.5</v>
      </c>
    </row>
    <row r="1322" spans="1:15" x14ac:dyDescent="0.3">
      <c r="A1322" s="8" t="s">
        <v>1405</v>
      </c>
      <c r="B1322" s="4" t="s">
        <v>1286</v>
      </c>
      <c r="C1322" s="4" t="s">
        <v>1287</v>
      </c>
      <c r="D1322" s="4">
        <v>2</v>
      </c>
      <c r="E1322" s="4">
        <v>866</v>
      </c>
      <c r="F1322" s="4">
        <v>22025490</v>
      </c>
      <c r="G1322" s="4">
        <v>2</v>
      </c>
      <c r="H1322" s="4">
        <v>1</v>
      </c>
      <c r="I1322" s="4" t="s">
        <v>18</v>
      </c>
      <c r="J1322" s="4" t="s">
        <v>23</v>
      </c>
      <c r="K1322" s="4" t="s">
        <v>20</v>
      </c>
      <c r="L1322" s="9">
        <v>45448</v>
      </c>
      <c r="M1322" s="9" t="str">
        <f>TEXT(Source_data[[#This Row],[Listing_Date]],"mmm-yy")</f>
        <v>Jun-24</v>
      </c>
      <c r="N1322" s="4">
        <f t="shared" si="20"/>
        <v>25433.591224018477</v>
      </c>
      <c r="O1322" s="3" cm="1">
        <f t="array" ref="O1322">_xlfn.IFS(AND(K1322="Broker",J1322="Resale"),F1322*0.5,AND(K1322="Owner",J1322="Resale"),F1322*0,AND(K1322="Builder",J1322="Resale"),F1322*0.3,AND(J1322="New",K1322="Broker"),F1322*0.1,AND(J1322="New",K1322="Owner"),F1322*0,AND(J1322="New",K1322="Builder"),F1322*0.5)</f>
        <v>11012745</v>
      </c>
    </row>
    <row r="1323" spans="1:15" x14ac:dyDescent="0.3">
      <c r="A1323" s="8" t="s">
        <v>1406</v>
      </c>
      <c r="B1323" s="4" t="s">
        <v>1286</v>
      </c>
      <c r="C1323" s="4" t="s">
        <v>1289</v>
      </c>
      <c r="D1323" s="4">
        <v>3</v>
      </c>
      <c r="E1323" s="4">
        <v>2375</v>
      </c>
      <c r="F1323" s="4">
        <v>36845305</v>
      </c>
      <c r="G1323" s="4">
        <v>3</v>
      </c>
      <c r="H1323" s="4">
        <v>1</v>
      </c>
      <c r="I1323" s="4" t="s">
        <v>8</v>
      </c>
      <c r="J1323" s="4" t="s">
        <v>19</v>
      </c>
      <c r="K1323" s="4" t="s">
        <v>24</v>
      </c>
      <c r="L1323" s="9">
        <v>45736</v>
      </c>
      <c r="M1323" s="9" t="str">
        <f>TEXT(Source_data[[#This Row],[Listing_Date]],"mmm-yy")</f>
        <v>Mar-25</v>
      </c>
      <c r="N1323" s="4">
        <f t="shared" si="20"/>
        <v>15513.812631578947</v>
      </c>
      <c r="O1323" s="3" cm="1">
        <f t="array" ref="O1323">_xlfn.IFS(AND(K1323="Broker",J1323="Resale"),F1323*0.5,AND(K1323="Owner",J1323="Resale"),F1323*0,AND(K1323="Builder",J1323="Resale"),F1323*0.3,AND(J1323="New",K1323="Broker"),F1323*0.1,AND(J1323="New",K1323="Owner"),F1323*0,AND(J1323="New",K1323="Builder"),F1323*0.5)</f>
        <v>18422652.5</v>
      </c>
    </row>
    <row r="1324" spans="1:15" x14ac:dyDescent="0.3">
      <c r="A1324" s="8" t="s">
        <v>1407</v>
      </c>
      <c r="B1324" s="4" t="s">
        <v>1286</v>
      </c>
      <c r="C1324" s="4" t="s">
        <v>1305</v>
      </c>
      <c r="D1324" s="4">
        <v>3</v>
      </c>
      <c r="E1324" s="4">
        <v>1330</v>
      </c>
      <c r="F1324" s="4">
        <v>24097440</v>
      </c>
      <c r="G1324" s="4">
        <v>3</v>
      </c>
      <c r="H1324" s="4">
        <v>1</v>
      </c>
      <c r="I1324" s="4" t="s">
        <v>8</v>
      </c>
      <c r="J1324" s="4" t="s">
        <v>19</v>
      </c>
      <c r="K1324" s="4" t="s">
        <v>36</v>
      </c>
      <c r="L1324" s="9">
        <v>45262</v>
      </c>
      <c r="M1324" s="9" t="str">
        <f>TEXT(Source_data[[#This Row],[Listing_Date]],"mmm-yy")</f>
        <v>Dec-23</v>
      </c>
      <c r="N1324" s="4">
        <f t="shared" si="20"/>
        <v>18118.375939849626</v>
      </c>
      <c r="O1324" s="3" cm="1">
        <f t="array" ref="O1324">_xlfn.IFS(AND(K1324="Broker",J1324="Resale"),F1324*0.5,AND(K1324="Owner",J1324="Resale"),F1324*0,AND(K1324="Builder",J1324="Resale"),F1324*0.3,AND(J1324="New",K1324="Broker"),F1324*0.1,AND(J1324="New",K1324="Owner"),F1324*0,AND(J1324="New",K1324="Builder"),F1324*0.5)</f>
        <v>0</v>
      </c>
    </row>
    <row r="1325" spans="1:15" x14ac:dyDescent="0.3">
      <c r="A1325" s="8" t="s">
        <v>1408</v>
      </c>
      <c r="B1325" s="4" t="s">
        <v>1286</v>
      </c>
      <c r="C1325" s="4" t="s">
        <v>1293</v>
      </c>
      <c r="D1325" s="4">
        <v>3</v>
      </c>
      <c r="E1325" s="4">
        <v>763</v>
      </c>
      <c r="F1325" s="4">
        <v>17725286</v>
      </c>
      <c r="G1325" s="4">
        <v>3</v>
      </c>
      <c r="H1325" s="4">
        <v>0</v>
      </c>
      <c r="I1325" s="4" t="s">
        <v>27</v>
      </c>
      <c r="J1325" s="4" t="s">
        <v>23</v>
      </c>
      <c r="K1325" s="4" t="s">
        <v>24</v>
      </c>
      <c r="L1325" s="9">
        <v>45112</v>
      </c>
      <c r="M1325" s="9" t="str">
        <f>TEXT(Source_data[[#This Row],[Listing_Date]],"mmm-yy")</f>
        <v>Jul-23</v>
      </c>
      <c r="N1325" s="4">
        <f t="shared" si="20"/>
        <v>23231.043250327653</v>
      </c>
      <c r="O1325" s="3" cm="1">
        <f t="array" ref="O1325">_xlfn.IFS(AND(K1325="Broker",J1325="Resale"),F1325*0.5,AND(K1325="Owner",J1325="Resale"),F1325*0,AND(K1325="Builder",J1325="Resale"),F1325*0.3,AND(J1325="New",K1325="Broker"),F1325*0.1,AND(J1325="New",K1325="Owner"),F1325*0,AND(J1325="New",K1325="Builder"),F1325*0.5)</f>
        <v>5317585.8</v>
      </c>
    </row>
    <row r="1326" spans="1:15" x14ac:dyDescent="0.3">
      <c r="A1326" s="8" t="s">
        <v>1409</v>
      </c>
      <c r="B1326" s="4" t="s">
        <v>1286</v>
      </c>
      <c r="C1326" s="4" t="s">
        <v>1305</v>
      </c>
      <c r="D1326" s="4">
        <v>2</v>
      </c>
      <c r="E1326" s="4">
        <v>1170</v>
      </c>
      <c r="F1326" s="4">
        <v>28369290</v>
      </c>
      <c r="G1326" s="4">
        <v>2</v>
      </c>
      <c r="H1326" s="4">
        <v>2</v>
      </c>
      <c r="I1326" s="4" t="s">
        <v>18</v>
      </c>
      <c r="J1326" s="4" t="s">
        <v>23</v>
      </c>
      <c r="K1326" s="4" t="s">
        <v>24</v>
      </c>
      <c r="L1326" s="9">
        <v>45392</v>
      </c>
      <c r="M1326" s="9" t="str">
        <f>TEXT(Source_data[[#This Row],[Listing_Date]],"mmm-yy")</f>
        <v>Apr-24</v>
      </c>
      <c r="N1326" s="4">
        <f t="shared" si="20"/>
        <v>24247.25641025641</v>
      </c>
      <c r="O1326" s="3" cm="1">
        <f t="array" ref="O1326">_xlfn.IFS(AND(K1326="Broker",J1326="Resale"),F1326*0.5,AND(K1326="Owner",J1326="Resale"),F1326*0,AND(K1326="Builder",J1326="Resale"),F1326*0.3,AND(J1326="New",K1326="Broker"),F1326*0.1,AND(J1326="New",K1326="Owner"),F1326*0,AND(J1326="New",K1326="Builder"),F1326*0.5)</f>
        <v>8510787</v>
      </c>
    </row>
    <row r="1327" spans="1:15" x14ac:dyDescent="0.3">
      <c r="A1327" s="8" t="s">
        <v>1410</v>
      </c>
      <c r="B1327" s="4" t="s">
        <v>1286</v>
      </c>
      <c r="C1327" s="4" t="s">
        <v>1287</v>
      </c>
      <c r="D1327" s="4">
        <v>2</v>
      </c>
      <c r="E1327" s="4">
        <v>1017</v>
      </c>
      <c r="F1327" s="4">
        <v>22340735</v>
      </c>
      <c r="G1327" s="4">
        <v>2</v>
      </c>
      <c r="H1327" s="4">
        <v>2</v>
      </c>
      <c r="I1327" s="4" t="s">
        <v>8</v>
      </c>
      <c r="J1327" s="4" t="s">
        <v>19</v>
      </c>
      <c r="K1327" s="4" t="s">
        <v>36</v>
      </c>
      <c r="L1327" s="9">
        <v>45402</v>
      </c>
      <c r="M1327" s="9" t="str">
        <f>TEXT(Source_data[[#This Row],[Listing_Date]],"mmm-yy")</f>
        <v>Apr-24</v>
      </c>
      <c r="N1327" s="4">
        <f t="shared" si="20"/>
        <v>21967.291052114062</v>
      </c>
      <c r="O1327" s="3" cm="1">
        <f t="array" ref="O1327">_xlfn.IFS(AND(K1327="Broker",J1327="Resale"),F1327*0.5,AND(K1327="Owner",J1327="Resale"),F1327*0,AND(K1327="Builder",J1327="Resale"),F1327*0.3,AND(J1327="New",K1327="Broker"),F1327*0.1,AND(J1327="New",K1327="Owner"),F1327*0,AND(J1327="New",K1327="Builder"),F1327*0.5)</f>
        <v>0</v>
      </c>
    </row>
    <row r="1328" spans="1:15" x14ac:dyDescent="0.3">
      <c r="A1328" s="8" t="s">
        <v>1411</v>
      </c>
      <c r="B1328" s="4" t="s">
        <v>1286</v>
      </c>
      <c r="C1328" s="4" t="s">
        <v>1291</v>
      </c>
      <c r="D1328" s="4">
        <v>3</v>
      </c>
      <c r="E1328" s="4">
        <v>1204</v>
      </c>
      <c r="F1328" s="4">
        <v>12066956</v>
      </c>
      <c r="G1328" s="4">
        <v>2</v>
      </c>
      <c r="H1328" s="4">
        <v>2</v>
      </c>
      <c r="I1328" s="4" t="s">
        <v>8</v>
      </c>
      <c r="J1328" s="4" t="s">
        <v>19</v>
      </c>
      <c r="K1328" s="4" t="s">
        <v>24</v>
      </c>
      <c r="L1328" s="9">
        <v>45384</v>
      </c>
      <c r="M1328" s="9" t="str">
        <f>TEXT(Source_data[[#This Row],[Listing_Date]],"mmm-yy")</f>
        <v>Apr-24</v>
      </c>
      <c r="N1328" s="4">
        <f t="shared" si="20"/>
        <v>10022.388704318937</v>
      </c>
      <c r="O1328" s="3" cm="1">
        <f t="array" ref="O1328">_xlfn.IFS(AND(K1328="Broker",J1328="Resale"),F1328*0.5,AND(K1328="Owner",J1328="Resale"),F1328*0,AND(K1328="Builder",J1328="Resale"),F1328*0.3,AND(J1328="New",K1328="Broker"),F1328*0.1,AND(J1328="New",K1328="Owner"),F1328*0,AND(J1328="New",K1328="Builder"),F1328*0.5)</f>
        <v>6033478</v>
      </c>
    </row>
    <row r="1329" spans="1:15" x14ac:dyDescent="0.3">
      <c r="A1329" s="8" t="s">
        <v>1412</v>
      </c>
      <c r="B1329" s="4" t="s">
        <v>1286</v>
      </c>
      <c r="C1329" s="4" t="s">
        <v>1291</v>
      </c>
      <c r="D1329" s="4">
        <v>3</v>
      </c>
      <c r="E1329" s="4">
        <v>1204</v>
      </c>
      <c r="F1329" s="4">
        <v>12066956</v>
      </c>
      <c r="G1329" s="4">
        <v>2</v>
      </c>
      <c r="H1329" s="4">
        <v>2</v>
      </c>
      <c r="I1329" s="4" t="s">
        <v>8</v>
      </c>
      <c r="J1329" s="4" t="s">
        <v>19</v>
      </c>
      <c r="K1329" s="4" t="s">
        <v>24</v>
      </c>
      <c r="L1329" s="9">
        <v>45776</v>
      </c>
      <c r="M1329" s="9" t="str">
        <f>TEXT(Source_data[[#This Row],[Listing_Date]],"mmm-yy")</f>
        <v>Apr-25</v>
      </c>
      <c r="N1329" s="4">
        <f t="shared" si="20"/>
        <v>10022.388704318937</v>
      </c>
      <c r="O1329" s="3" cm="1">
        <f t="array" ref="O1329">_xlfn.IFS(AND(K1329="Broker",J1329="Resale"),F1329*0.5,AND(K1329="Owner",J1329="Resale"),F1329*0,AND(K1329="Builder",J1329="Resale"),F1329*0.3,AND(J1329="New",K1329="Broker"),F1329*0.1,AND(J1329="New",K1329="Owner"),F1329*0,AND(J1329="New",K1329="Builder"),F1329*0.5)</f>
        <v>6033478</v>
      </c>
    </row>
    <row r="1330" spans="1:15" x14ac:dyDescent="0.3">
      <c r="A1330" s="8" t="s">
        <v>1413</v>
      </c>
      <c r="B1330" s="4" t="s">
        <v>1286</v>
      </c>
      <c r="C1330" s="4" t="s">
        <v>1305</v>
      </c>
      <c r="D1330" s="4">
        <v>2</v>
      </c>
      <c r="E1330" s="4">
        <v>1001</v>
      </c>
      <c r="F1330" s="4">
        <v>25894214</v>
      </c>
      <c r="G1330" s="4">
        <v>2</v>
      </c>
      <c r="H1330" s="4">
        <v>1</v>
      </c>
      <c r="I1330" s="4" t="s">
        <v>8</v>
      </c>
      <c r="J1330" s="4" t="s">
        <v>23</v>
      </c>
      <c r="K1330" s="4" t="s">
        <v>24</v>
      </c>
      <c r="L1330" s="9">
        <v>45709</v>
      </c>
      <c r="M1330" s="9" t="str">
        <f>TEXT(Source_data[[#This Row],[Listing_Date]],"mmm-yy")</f>
        <v>Feb-25</v>
      </c>
      <c r="N1330" s="4">
        <f t="shared" si="20"/>
        <v>25868.345654345656</v>
      </c>
      <c r="O1330" s="3" cm="1">
        <f t="array" ref="O1330">_xlfn.IFS(AND(K1330="Broker",J1330="Resale"),F1330*0.5,AND(K1330="Owner",J1330="Resale"),F1330*0,AND(K1330="Builder",J1330="Resale"),F1330*0.3,AND(J1330="New",K1330="Broker"),F1330*0.1,AND(J1330="New",K1330="Owner"),F1330*0,AND(J1330="New",K1330="Builder"),F1330*0.5)</f>
        <v>7768264.1999999993</v>
      </c>
    </row>
    <row r="1331" spans="1:15" x14ac:dyDescent="0.3">
      <c r="A1331" s="8" t="s">
        <v>1414</v>
      </c>
      <c r="B1331" s="4" t="s">
        <v>1286</v>
      </c>
      <c r="C1331" s="4" t="s">
        <v>1299</v>
      </c>
      <c r="D1331" s="4">
        <v>3</v>
      </c>
      <c r="E1331" s="4">
        <v>1123</v>
      </c>
      <c r="F1331" s="4">
        <v>28188927</v>
      </c>
      <c r="G1331" s="4">
        <v>2</v>
      </c>
      <c r="H1331" s="4">
        <v>4</v>
      </c>
      <c r="I1331" s="4" t="s">
        <v>18</v>
      </c>
      <c r="J1331" s="4" t="s">
        <v>19</v>
      </c>
      <c r="K1331" s="4" t="s">
        <v>24</v>
      </c>
      <c r="L1331" s="9">
        <v>45413</v>
      </c>
      <c r="M1331" s="9" t="str">
        <f>TEXT(Source_data[[#This Row],[Listing_Date]],"mmm-yy")</f>
        <v>May-24</v>
      </c>
      <c r="N1331" s="4">
        <f t="shared" si="20"/>
        <v>25101.448797862868</v>
      </c>
      <c r="O1331" s="3" cm="1">
        <f t="array" ref="O1331">_xlfn.IFS(AND(K1331="Broker",J1331="Resale"),F1331*0.5,AND(K1331="Owner",J1331="Resale"),F1331*0,AND(K1331="Builder",J1331="Resale"),F1331*0.3,AND(J1331="New",K1331="Broker"),F1331*0.1,AND(J1331="New",K1331="Owner"),F1331*0,AND(J1331="New",K1331="Builder"),F1331*0.5)</f>
        <v>14094463.5</v>
      </c>
    </row>
    <row r="1332" spans="1:15" x14ac:dyDescent="0.3">
      <c r="A1332" s="8" t="s">
        <v>1415</v>
      </c>
      <c r="B1332" s="4" t="s">
        <v>1286</v>
      </c>
      <c r="C1332" s="4" t="s">
        <v>1289</v>
      </c>
      <c r="D1332" s="4">
        <v>2</v>
      </c>
      <c r="E1332" s="4">
        <v>800</v>
      </c>
      <c r="F1332" s="4">
        <v>17416891</v>
      </c>
      <c r="G1332" s="4">
        <v>2</v>
      </c>
      <c r="H1332" s="4">
        <v>0</v>
      </c>
      <c r="I1332" s="4" t="s">
        <v>18</v>
      </c>
      <c r="J1332" s="4" t="s">
        <v>23</v>
      </c>
      <c r="K1332" s="4" t="s">
        <v>24</v>
      </c>
      <c r="L1332" s="9">
        <v>45277</v>
      </c>
      <c r="M1332" s="9" t="str">
        <f>TEXT(Source_data[[#This Row],[Listing_Date]],"mmm-yy")</f>
        <v>Dec-23</v>
      </c>
      <c r="N1332" s="4">
        <f t="shared" si="20"/>
        <v>21771.11375</v>
      </c>
      <c r="O1332" s="3" cm="1">
        <f t="array" ref="O1332">_xlfn.IFS(AND(K1332="Broker",J1332="Resale"),F1332*0.5,AND(K1332="Owner",J1332="Resale"),F1332*0,AND(K1332="Builder",J1332="Resale"),F1332*0.3,AND(J1332="New",K1332="Broker"),F1332*0.1,AND(J1332="New",K1332="Owner"),F1332*0,AND(J1332="New",K1332="Builder"),F1332*0.5)</f>
        <v>5225067.3</v>
      </c>
    </row>
    <row r="1333" spans="1:15" x14ac:dyDescent="0.3">
      <c r="A1333" s="8" t="s">
        <v>1416</v>
      </c>
      <c r="B1333" s="4" t="s">
        <v>1286</v>
      </c>
      <c r="C1333" s="4" t="s">
        <v>1305</v>
      </c>
      <c r="D1333" s="4">
        <v>3</v>
      </c>
      <c r="E1333" s="4">
        <v>993</v>
      </c>
      <c r="F1333" s="4">
        <v>26954982</v>
      </c>
      <c r="G1333" s="4">
        <v>2</v>
      </c>
      <c r="H1333" s="4">
        <v>1</v>
      </c>
      <c r="I1333" s="4" t="s">
        <v>8</v>
      </c>
      <c r="J1333" s="4" t="s">
        <v>19</v>
      </c>
      <c r="K1333" s="4" t="s">
        <v>36</v>
      </c>
      <c r="L1333" s="9">
        <v>45728</v>
      </c>
      <c r="M1333" s="9" t="str">
        <f>TEXT(Source_data[[#This Row],[Listing_Date]],"mmm-yy")</f>
        <v>Mar-25</v>
      </c>
      <c r="N1333" s="4">
        <f t="shared" si="20"/>
        <v>27144.996978851963</v>
      </c>
      <c r="O1333" s="3" cm="1">
        <f t="array" ref="O1333">_xlfn.IFS(AND(K1333="Broker",J1333="Resale"),F1333*0.5,AND(K1333="Owner",J1333="Resale"),F1333*0,AND(K1333="Builder",J1333="Resale"),F1333*0.3,AND(J1333="New",K1333="Broker"),F1333*0.1,AND(J1333="New",K1333="Owner"),F1333*0,AND(J1333="New",K1333="Builder"),F1333*0.5)</f>
        <v>0</v>
      </c>
    </row>
    <row r="1334" spans="1:15" x14ac:dyDescent="0.3">
      <c r="A1334" s="8" t="s">
        <v>1417</v>
      </c>
      <c r="B1334" s="4" t="s">
        <v>1286</v>
      </c>
      <c r="C1334" s="4" t="s">
        <v>1287</v>
      </c>
      <c r="D1334" s="4">
        <v>4</v>
      </c>
      <c r="E1334" s="4">
        <v>1581</v>
      </c>
      <c r="F1334" s="4">
        <v>35456157</v>
      </c>
      <c r="G1334" s="4">
        <v>3</v>
      </c>
      <c r="H1334" s="4">
        <v>0</v>
      </c>
      <c r="I1334" s="4" t="s">
        <v>18</v>
      </c>
      <c r="J1334" s="4" t="s">
        <v>23</v>
      </c>
      <c r="K1334" s="4" t="s">
        <v>24</v>
      </c>
      <c r="L1334" s="9">
        <v>45811</v>
      </c>
      <c r="M1334" s="9" t="str">
        <f>TEXT(Source_data[[#This Row],[Listing_Date]],"mmm-yy")</f>
        <v>Jun-25</v>
      </c>
      <c r="N1334" s="4">
        <f t="shared" si="20"/>
        <v>22426.411764705881</v>
      </c>
      <c r="O1334" s="3" cm="1">
        <f t="array" ref="O1334">_xlfn.IFS(AND(K1334="Broker",J1334="Resale"),F1334*0.5,AND(K1334="Owner",J1334="Resale"),F1334*0,AND(K1334="Builder",J1334="Resale"),F1334*0.3,AND(J1334="New",K1334="Broker"),F1334*0.1,AND(J1334="New",K1334="Owner"),F1334*0,AND(J1334="New",K1334="Builder"),F1334*0.5)</f>
        <v>10636847.1</v>
      </c>
    </row>
    <row r="1335" spans="1:15" x14ac:dyDescent="0.3">
      <c r="A1335" s="8" t="s">
        <v>1418</v>
      </c>
      <c r="B1335" s="4" t="s">
        <v>1286</v>
      </c>
      <c r="C1335" s="4" t="s">
        <v>1287</v>
      </c>
      <c r="D1335" s="4">
        <v>2</v>
      </c>
      <c r="E1335" s="4">
        <v>1047</v>
      </c>
      <c r="F1335" s="4">
        <v>24330944</v>
      </c>
      <c r="G1335" s="4">
        <v>2</v>
      </c>
      <c r="H1335" s="4">
        <v>3</v>
      </c>
      <c r="I1335" s="4" t="s">
        <v>27</v>
      </c>
      <c r="J1335" s="4" t="s">
        <v>19</v>
      </c>
      <c r="K1335" s="4" t="s">
        <v>20</v>
      </c>
      <c r="L1335" s="9">
        <v>45765</v>
      </c>
      <c r="M1335" s="9" t="str">
        <f>TEXT(Source_data[[#This Row],[Listing_Date]],"mmm-yy")</f>
        <v>Apr-25</v>
      </c>
      <c r="N1335" s="4">
        <f t="shared" si="20"/>
        <v>23238.723973256925</v>
      </c>
      <c r="O1335" s="3" cm="1">
        <f t="array" ref="O1335">_xlfn.IFS(AND(K1335="Broker",J1335="Resale"),F1335*0.5,AND(K1335="Owner",J1335="Resale"),F1335*0,AND(K1335="Builder",J1335="Resale"),F1335*0.3,AND(J1335="New",K1335="Broker"),F1335*0.1,AND(J1335="New",K1335="Owner"),F1335*0,AND(J1335="New",K1335="Builder"),F1335*0.5)</f>
        <v>2433094.4</v>
      </c>
    </row>
    <row r="1336" spans="1:15" x14ac:dyDescent="0.3">
      <c r="A1336" s="8" t="s">
        <v>1419</v>
      </c>
      <c r="B1336" s="4" t="s">
        <v>1286</v>
      </c>
      <c r="C1336" s="4" t="s">
        <v>1305</v>
      </c>
      <c r="D1336" s="4">
        <v>3</v>
      </c>
      <c r="E1336" s="4">
        <v>702</v>
      </c>
      <c r="F1336" s="4">
        <v>10643083</v>
      </c>
      <c r="G1336" s="4">
        <v>2</v>
      </c>
      <c r="H1336" s="4">
        <v>4</v>
      </c>
      <c r="I1336" s="4" t="s">
        <v>18</v>
      </c>
      <c r="J1336" s="4" t="s">
        <v>19</v>
      </c>
      <c r="K1336" s="4" t="s">
        <v>36</v>
      </c>
      <c r="L1336" s="9">
        <v>45541</v>
      </c>
      <c r="M1336" s="9" t="str">
        <f>TEXT(Source_data[[#This Row],[Listing_Date]],"mmm-yy")</f>
        <v>Sep-24</v>
      </c>
      <c r="N1336" s="4">
        <f t="shared" si="20"/>
        <v>15161.086894586895</v>
      </c>
      <c r="O1336" s="3" cm="1">
        <f t="array" ref="O1336">_xlfn.IFS(AND(K1336="Broker",J1336="Resale"),F1336*0.5,AND(K1336="Owner",J1336="Resale"),F1336*0,AND(K1336="Builder",J1336="Resale"),F1336*0.3,AND(J1336="New",K1336="Broker"),F1336*0.1,AND(J1336="New",K1336="Owner"),F1336*0,AND(J1336="New",K1336="Builder"),F1336*0.5)</f>
        <v>0</v>
      </c>
    </row>
    <row r="1337" spans="1:15" x14ac:dyDescent="0.3">
      <c r="A1337" s="8" t="s">
        <v>1420</v>
      </c>
      <c r="B1337" s="4" t="s">
        <v>1286</v>
      </c>
      <c r="C1337" s="4" t="s">
        <v>1291</v>
      </c>
      <c r="D1337" s="4">
        <v>2</v>
      </c>
      <c r="E1337" s="4">
        <v>930</v>
      </c>
      <c r="F1337" s="4">
        <v>22263772</v>
      </c>
      <c r="G1337" s="4">
        <v>3</v>
      </c>
      <c r="H1337" s="4">
        <v>2</v>
      </c>
      <c r="I1337" s="4" t="s">
        <v>18</v>
      </c>
      <c r="J1337" s="4" t="s">
        <v>19</v>
      </c>
      <c r="K1337" s="4" t="s">
        <v>36</v>
      </c>
      <c r="L1337" s="9">
        <v>45765</v>
      </c>
      <c r="M1337" s="9" t="str">
        <f>TEXT(Source_data[[#This Row],[Listing_Date]],"mmm-yy")</f>
        <v>Apr-25</v>
      </c>
      <c r="N1337" s="4">
        <f t="shared" si="20"/>
        <v>23939.539784946235</v>
      </c>
      <c r="O1337" s="3" cm="1">
        <f t="array" ref="O1337">_xlfn.IFS(AND(K1337="Broker",J1337="Resale"),F1337*0.5,AND(K1337="Owner",J1337="Resale"),F1337*0,AND(K1337="Builder",J1337="Resale"),F1337*0.3,AND(J1337="New",K1337="Broker"),F1337*0.1,AND(J1337="New",K1337="Owner"),F1337*0,AND(J1337="New",K1337="Builder"),F1337*0.5)</f>
        <v>0</v>
      </c>
    </row>
    <row r="1338" spans="1:15" x14ac:dyDescent="0.3">
      <c r="A1338" s="8" t="s">
        <v>1421</v>
      </c>
      <c r="B1338" s="4" t="s">
        <v>1286</v>
      </c>
      <c r="C1338" s="4" t="s">
        <v>1305</v>
      </c>
      <c r="D1338" s="4">
        <v>3</v>
      </c>
      <c r="E1338" s="4">
        <v>1584</v>
      </c>
      <c r="F1338" s="4">
        <v>34367445</v>
      </c>
      <c r="G1338" s="4">
        <v>3</v>
      </c>
      <c r="H1338" s="4">
        <v>0</v>
      </c>
      <c r="I1338" s="4" t="s">
        <v>8</v>
      </c>
      <c r="J1338" s="4" t="s">
        <v>23</v>
      </c>
      <c r="K1338" s="4" t="s">
        <v>36</v>
      </c>
      <c r="L1338" s="9">
        <v>45483</v>
      </c>
      <c r="M1338" s="9" t="str">
        <f>TEXT(Source_data[[#This Row],[Listing_Date]],"mmm-yy")</f>
        <v>Jul-24</v>
      </c>
      <c r="N1338" s="4">
        <f t="shared" si="20"/>
        <v>21696.61931818182</v>
      </c>
      <c r="O1338" s="3" cm="1">
        <f t="array" ref="O1338">_xlfn.IFS(AND(K1338="Broker",J1338="Resale"),F1338*0.5,AND(K1338="Owner",J1338="Resale"),F1338*0,AND(K1338="Builder",J1338="Resale"),F1338*0.3,AND(J1338="New",K1338="Broker"),F1338*0.1,AND(J1338="New",K1338="Owner"),F1338*0,AND(J1338="New",K1338="Builder"),F1338*0.5)</f>
        <v>0</v>
      </c>
    </row>
    <row r="1339" spans="1:15" x14ac:dyDescent="0.3">
      <c r="A1339" s="8" t="s">
        <v>1422</v>
      </c>
      <c r="B1339" s="4" t="s">
        <v>1286</v>
      </c>
      <c r="C1339" s="4" t="s">
        <v>1289</v>
      </c>
      <c r="D1339" s="4">
        <v>2</v>
      </c>
      <c r="E1339" s="4">
        <v>832</v>
      </c>
      <c r="F1339" s="4">
        <v>14691859</v>
      </c>
      <c r="G1339" s="4">
        <v>1</v>
      </c>
      <c r="H1339" s="4">
        <v>1</v>
      </c>
      <c r="I1339" s="4" t="s">
        <v>18</v>
      </c>
      <c r="J1339" s="4" t="s">
        <v>23</v>
      </c>
      <c r="K1339" s="4" t="s">
        <v>24</v>
      </c>
      <c r="L1339" s="9">
        <v>45070</v>
      </c>
      <c r="M1339" s="9" t="str">
        <f>TEXT(Source_data[[#This Row],[Listing_Date]],"mmm-yy")</f>
        <v>May-23</v>
      </c>
      <c r="N1339" s="4">
        <f t="shared" si="20"/>
        <v>17658.484375</v>
      </c>
      <c r="O1339" s="3" cm="1">
        <f t="array" ref="O1339">_xlfn.IFS(AND(K1339="Broker",J1339="Resale"),F1339*0.5,AND(K1339="Owner",J1339="Resale"),F1339*0,AND(K1339="Builder",J1339="Resale"),F1339*0.3,AND(J1339="New",K1339="Broker"),F1339*0.1,AND(J1339="New",K1339="Owner"),F1339*0,AND(J1339="New",K1339="Builder"),F1339*0.5)</f>
        <v>4407557.7</v>
      </c>
    </row>
    <row r="1340" spans="1:15" x14ac:dyDescent="0.3">
      <c r="A1340" s="8" t="s">
        <v>1423</v>
      </c>
      <c r="B1340" s="4" t="s">
        <v>1286</v>
      </c>
      <c r="C1340" s="4" t="s">
        <v>1299</v>
      </c>
      <c r="D1340" s="4">
        <v>2</v>
      </c>
      <c r="E1340" s="4">
        <v>1035</v>
      </c>
      <c r="F1340" s="4">
        <v>23257181</v>
      </c>
      <c r="G1340" s="4">
        <v>3</v>
      </c>
      <c r="H1340" s="4">
        <v>2</v>
      </c>
      <c r="I1340" s="4" t="s">
        <v>8</v>
      </c>
      <c r="J1340" s="4" t="s">
        <v>19</v>
      </c>
      <c r="K1340" s="4" t="s">
        <v>36</v>
      </c>
      <c r="L1340" s="9">
        <v>45383</v>
      </c>
      <c r="M1340" s="9" t="str">
        <f>TEXT(Source_data[[#This Row],[Listing_Date]],"mmm-yy")</f>
        <v>Apr-24</v>
      </c>
      <c r="N1340" s="4">
        <f t="shared" si="20"/>
        <v>22470.706280193237</v>
      </c>
      <c r="O1340" s="3" cm="1">
        <f t="array" ref="O1340">_xlfn.IFS(AND(K1340="Broker",J1340="Resale"),F1340*0.5,AND(K1340="Owner",J1340="Resale"),F1340*0,AND(K1340="Builder",J1340="Resale"),F1340*0.3,AND(J1340="New",K1340="Broker"),F1340*0.1,AND(J1340="New",K1340="Owner"),F1340*0,AND(J1340="New",K1340="Builder"),F1340*0.5)</f>
        <v>0</v>
      </c>
    </row>
    <row r="1341" spans="1:15" x14ac:dyDescent="0.3">
      <c r="A1341" s="8" t="s">
        <v>1424</v>
      </c>
      <c r="B1341" s="4" t="s">
        <v>1286</v>
      </c>
      <c r="C1341" s="4" t="s">
        <v>1299</v>
      </c>
      <c r="D1341" s="4">
        <v>4</v>
      </c>
      <c r="E1341" s="4">
        <v>1262</v>
      </c>
      <c r="F1341" s="4">
        <v>29255055</v>
      </c>
      <c r="G1341" s="4">
        <v>3</v>
      </c>
      <c r="H1341" s="4">
        <v>3</v>
      </c>
      <c r="I1341" s="4" t="s">
        <v>8</v>
      </c>
      <c r="J1341" s="4" t="s">
        <v>23</v>
      </c>
      <c r="K1341" s="4" t="s">
        <v>36</v>
      </c>
      <c r="L1341" s="9">
        <v>45689</v>
      </c>
      <c r="M1341" s="9" t="str">
        <f>TEXT(Source_data[[#This Row],[Listing_Date]],"mmm-yy")</f>
        <v>Feb-25</v>
      </c>
      <c r="N1341" s="4">
        <f t="shared" si="20"/>
        <v>23181.501584786052</v>
      </c>
      <c r="O1341" s="3" cm="1">
        <f t="array" ref="O1341">_xlfn.IFS(AND(K1341="Broker",J1341="Resale"),F1341*0.5,AND(K1341="Owner",J1341="Resale"),F1341*0,AND(K1341="Builder",J1341="Resale"),F1341*0.3,AND(J1341="New",K1341="Broker"),F1341*0.1,AND(J1341="New",K1341="Owner"),F1341*0,AND(J1341="New",K1341="Builder"),F1341*0.5)</f>
        <v>0</v>
      </c>
    </row>
    <row r="1342" spans="1:15" x14ac:dyDescent="0.3">
      <c r="A1342" s="8" t="s">
        <v>1425</v>
      </c>
      <c r="B1342" s="4" t="s">
        <v>1286</v>
      </c>
      <c r="C1342" s="4" t="s">
        <v>1291</v>
      </c>
      <c r="D1342" s="4">
        <v>2</v>
      </c>
      <c r="E1342" s="4">
        <v>765</v>
      </c>
      <c r="F1342" s="4">
        <v>14970068</v>
      </c>
      <c r="G1342" s="4">
        <v>2</v>
      </c>
      <c r="H1342" s="4">
        <v>1</v>
      </c>
      <c r="I1342" s="4" t="s">
        <v>27</v>
      </c>
      <c r="J1342" s="4" t="s">
        <v>19</v>
      </c>
      <c r="K1342" s="4" t="s">
        <v>36</v>
      </c>
      <c r="L1342" s="9">
        <v>45774</v>
      </c>
      <c r="M1342" s="9" t="str">
        <f>TEXT(Source_data[[#This Row],[Listing_Date]],"mmm-yy")</f>
        <v>Apr-25</v>
      </c>
      <c r="N1342" s="4">
        <f t="shared" si="20"/>
        <v>19568.716339869283</v>
      </c>
      <c r="O1342" s="3" cm="1">
        <f t="array" ref="O1342">_xlfn.IFS(AND(K1342="Broker",J1342="Resale"),F1342*0.5,AND(K1342="Owner",J1342="Resale"),F1342*0,AND(K1342="Builder",J1342="Resale"),F1342*0.3,AND(J1342="New",K1342="Broker"),F1342*0.1,AND(J1342="New",K1342="Owner"),F1342*0,AND(J1342="New",K1342="Builder"),F1342*0.5)</f>
        <v>0</v>
      </c>
    </row>
    <row r="1343" spans="1:15" x14ac:dyDescent="0.3">
      <c r="A1343" s="8" t="s">
        <v>1426</v>
      </c>
      <c r="B1343" s="4" t="s">
        <v>1286</v>
      </c>
      <c r="C1343" s="4" t="s">
        <v>1287</v>
      </c>
      <c r="D1343" s="4">
        <v>4</v>
      </c>
      <c r="E1343" s="4">
        <v>954</v>
      </c>
      <c r="F1343" s="4">
        <v>22447885</v>
      </c>
      <c r="G1343" s="4">
        <v>3</v>
      </c>
      <c r="H1343" s="4">
        <v>1</v>
      </c>
      <c r="I1343" s="4" t="s">
        <v>18</v>
      </c>
      <c r="J1343" s="4" t="s">
        <v>19</v>
      </c>
      <c r="K1343" s="4" t="s">
        <v>24</v>
      </c>
      <c r="L1343" s="9">
        <v>45545</v>
      </c>
      <c r="M1343" s="9" t="str">
        <f>TEXT(Source_data[[#This Row],[Listing_Date]],"mmm-yy")</f>
        <v>Sep-24</v>
      </c>
      <c r="N1343" s="4">
        <f t="shared" si="20"/>
        <v>23530.277777777777</v>
      </c>
      <c r="O1343" s="3" cm="1">
        <f t="array" ref="O1343">_xlfn.IFS(AND(K1343="Broker",J1343="Resale"),F1343*0.5,AND(K1343="Owner",J1343="Resale"),F1343*0,AND(K1343="Builder",J1343="Resale"),F1343*0.3,AND(J1343="New",K1343="Broker"),F1343*0.1,AND(J1343="New",K1343="Owner"),F1343*0,AND(J1343="New",K1343="Builder"),F1343*0.5)</f>
        <v>11223942.5</v>
      </c>
    </row>
    <row r="1344" spans="1:15" x14ac:dyDescent="0.3">
      <c r="A1344" s="8" t="s">
        <v>1427</v>
      </c>
      <c r="B1344" s="4" t="s">
        <v>1286</v>
      </c>
      <c r="C1344" s="4" t="s">
        <v>1291</v>
      </c>
      <c r="D1344" s="4">
        <v>3</v>
      </c>
      <c r="E1344" s="4">
        <v>1599</v>
      </c>
      <c r="F1344" s="4">
        <v>42067326</v>
      </c>
      <c r="G1344" s="4">
        <v>3</v>
      </c>
      <c r="H1344" s="4">
        <v>2</v>
      </c>
      <c r="I1344" s="4" t="s">
        <v>27</v>
      </c>
      <c r="J1344" s="4" t="s">
        <v>23</v>
      </c>
      <c r="K1344" s="4" t="s">
        <v>36</v>
      </c>
      <c r="L1344" s="9">
        <v>45462</v>
      </c>
      <c r="M1344" s="9" t="str">
        <f>TEXT(Source_data[[#This Row],[Listing_Date]],"mmm-yy")</f>
        <v>Jun-24</v>
      </c>
      <c r="N1344" s="4">
        <f t="shared" si="20"/>
        <v>26308.521575984989</v>
      </c>
      <c r="O1344" s="3" cm="1">
        <f t="array" ref="O1344">_xlfn.IFS(AND(K1344="Broker",J1344="Resale"),F1344*0.5,AND(K1344="Owner",J1344="Resale"),F1344*0,AND(K1344="Builder",J1344="Resale"),F1344*0.3,AND(J1344="New",K1344="Broker"),F1344*0.1,AND(J1344="New",K1344="Owner"),F1344*0,AND(J1344="New",K1344="Builder"),F1344*0.5)</f>
        <v>0</v>
      </c>
    </row>
    <row r="1345" spans="1:15" x14ac:dyDescent="0.3">
      <c r="A1345" s="8" t="s">
        <v>1428</v>
      </c>
      <c r="B1345" s="4" t="s">
        <v>1286</v>
      </c>
      <c r="C1345" s="4" t="s">
        <v>1287</v>
      </c>
      <c r="D1345" s="4">
        <v>3</v>
      </c>
      <c r="E1345" s="4">
        <v>1431</v>
      </c>
      <c r="F1345" s="4">
        <v>26132282</v>
      </c>
      <c r="G1345" s="4">
        <v>4</v>
      </c>
      <c r="H1345" s="4">
        <v>2</v>
      </c>
      <c r="I1345" s="4" t="s">
        <v>8</v>
      </c>
      <c r="J1345" s="4" t="s">
        <v>19</v>
      </c>
      <c r="K1345" s="4" t="s">
        <v>24</v>
      </c>
      <c r="L1345" s="9">
        <v>45585</v>
      </c>
      <c r="M1345" s="9" t="str">
        <f>TEXT(Source_data[[#This Row],[Listing_Date]],"mmm-yy")</f>
        <v>Oct-24</v>
      </c>
      <c r="N1345" s="4">
        <f t="shared" si="20"/>
        <v>18261.552760307477</v>
      </c>
      <c r="O1345" s="3" cm="1">
        <f t="array" ref="O1345">_xlfn.IFS(AND(K1345="Broker",J1345="Resale"),F1345*0.5,AND(K1345="Owner",J1345="Resale"),F1345*0,AND(K1345="Builder",J1345="Resale"),F1345*0.3,AND(J1345="New",K1345="Broker"),F1345*0.1,AND(J1345="New",K1345="Owner"),F1345*0,AND(J1345="New",K1345="Builder"),F1345*0.5)</f>
        <v>13066141</v>
      </c>
    </row>
    <row r="1346" spans="1:15" x14ac:dyDescent="0.3">
      <c r="A1346" s="8" t="s">
        <v>1429</v>
      </c>
      <c r="B1346" s="4" t="s">
        <v>1286</v>
      </c>
      <c r="C1346" s="4" t="s">
        <v>1289</v>
      </c>
      <c r="D1346" s="4">
        <v>4</v>
      </c>
      <c r="E1346" s="4">
        <v>985</v>
      </c>
      <c r="F1346" s="4">
        <v>26841029</v>
      </c>
      <c r="G1346" s="4">
        <v>3</v>
      </c>
      <c r="H1346" s="4">
        <v>2</v>
      </c>
      <c r="I1346" s="4" t="s">
        <v>8</v>
      </c>
      <c r="J1346" s="4" t="s">
        <v>19</v>
      </c>
      <c r="K1346" s="4" t="s">
        <v>24</v>
      </c>
      <c r="L1346" s="9">
        <v>45382</v>
      </c>
      <c r="M1346" s="9" t="str">
        <f>TEXT(Source_data[[#This Row],[Listing_Date]],"mmm-yy")</f>
        <v>Mar-24</v>
      </c>
      <c r="N1346" s="4">
        <f t="shared" si="20"/>
        <v>27249.775634517766</v>
      </c>
      <c r="O1346" s="3" cm="1">
        <f t="array" ref="O1346">_xlfn.IFS(AND(K1346="Broker",J1346="Resale"),F1346*0.5,AND(K1346="Owner",J1346="Resale"),F1346*0,AND(K1346="Builder",J1346="Resale"),F1346*0.3,AND(J1346="New",K1346="Broker"),F1346*0.1,AND(J1346="New",K1346="Owner"),F1346*0,AND(J1346="New",K1346="Builder"),F1346*0.5)</f>
        <v>13420514.5</v>
      </c>
    </row>
    <row r="1347" spans="1:15" x14ac:dyDescent="0.3">
      <c r="A1347" s="8" t="s">
        <v>1430</v>
      </c>
      <c r="B1347" s="4" t="s">
        <v>1286</v>
      </c>
      <c r="C1347" s="4" t="s">
        <v>1287</v>
      </c>
      <c r="D1347" s="4">
        <v>3</v>
      </c>
      <c r="E1347" s="4">
        <v>2209</v>
      </c>
      <c r="F1347" s="4">
        <v>39964333</v>
      </c>
      <c r="G1347" s="4">
        <v>3</v>
      </c>
      <c r="H1347" s="4">
        <v>2</v>
      </c>
      <c r="I1347" s="4" t="s">
        <v>27</v>
      </c>
      <c r="J1347" s="4" t="s">
        <v>23</v>
      </c>
      <c r="K1347" s="4" t="s">
        <v>20</v>
      </c>
      <c r="L1347" s="9">
        <v>45089</v>
      </c>
      <c r="M1347" s="9" t="str">
        <f>TEXT(Source_data[[#This Row],[Listing_Date]],"mmm-yy")</f>
        <v>Jun-23</v>
      </c>
      <c r="N1347" s="4">
        <f t="shared" ref="N1347:N1410" si="21">F1347/E1347</f>
        <v>18091.594839293797</v>
      </c>
      <c r="O1347" s="3" cm="1">
        <f t="array" ref="O1347">_xlfn.IFS(AND(K1347="Broker",J1347="Resale"),F1347*0.5,AND(K1347="Owner",J1347="Resale"),F1347*0,AND(K1347="Builder",J1347="Resale"),F1347*0.3,AND(J1347="New",K1347="Broker"),F1347*0.1,AND(J1347="New",K1347="Owner"),F1347*0,AND(J1347="New",K1347="Builder"),F1347*0.5)</f>
        <v>19982166.5</v>
      </c>
    </row>
    <row r="1348" spans="1:15" x14ac:dyDescent="0.3">
      <c r="A1348" s="8" t="s">
        <v>1431</v>
      </c>
      <c r="B1348" s="4" t="s">
        <v>1286</v>
      </c>
      <c r="C1348" s="4" t="s">
        <v>1287</v>
      </c>
      <c r="D1348" s="4">
        <v>3</v>
      </c>
      <c r="E1348" s="4">
        <v>1128</v>
      </c>
      <c r="F1348" s="4">
        <v>27461958</v>
      </c>
      <c r="G1348" s="4">
        <v>4</v>
      </c>
      <c r="H1348" s="4">
        <v>2</v>
      </c>
      <c r="I1348" s="4" t="s">
        <v>27</v>
      </c>
      <c r="J1348" s="4" t="s">
        <v>23</v>
      </c>
      <c r="K1348" s="4" t="s">
        <v>36</v>
      </c>
      <c r="L1348" s="9">
        <v>45808</v>
      </c>
      <c r="M1348" s="9" t="str">
        <f>TEXT(Source_data[[#This Row],[Listing_Date]],"mmm-yy")</f>
        <v>May-25</v>
      </c>
      <c r="N1348" s="4">
        <f t="shared" si="21"/>
        <v>24345.707446808512</v>
      </c>
      <c r="O1348" s="3" cm="1">
        <f t="array" ref="O1348">_xlfn.IFS(AND(K1348="Broker",J1348="Resale"),F1348*0.5,AND(K1348="Owner",J1348="Resale"),F1348*0,AND(K1348="Builder",J1348="Resale"),F1348*0.3,AND(J1348="New",K1348="Broker"),F1348*0.1,AND(J1348="New",K1348="Owner"),F1348*0,AND(J1348="New",K1348="Builder"),F1348*0.5)</f>
        <v>0</v>
      </c>
    </row>
    <row r="1349" spans="1:15" x14ac:dyDescent="0.3">
      <c r="A1349" s="8" t="s">
        <v>1432</v>
      </c>
      <c r="B1349" s="4" t="s">
        <v>1286</v>
      </c>
      <c r="C1349" s="4" t="s">
        <v>1305</v>
      </c>
      <c r="D1349" s="4">
        <v>2</v>
      </c>
      <c r="E1349" s="4">
        <v>1165</v>
      </c>
      <c r="F1349" s="4">
        <v>22911378</v>
      </c>
      <c r="G1349" s="4">
        <v>3</v>
      </c>
      <c r="H1349" s="4">
        <v>2</v>
      </c>
      <c r="I1349" s="4" t="s">
        <v>8</v>
      </c>
      <c r="J1349" s="4" t="s">
        <v>19</v>
      </c>
      <c r="K1349" s="4" t="s">
        <v>24</v>
      </c>
      <c r="L1349" s="9">
        <v>45712</v>
      </c>
      <c r="M1349" s="9" t="str">
        <f>TEXT(Source_data[[#This Row],[Listing_Date]],"mmm-yy")</f>
        <v>Feb-25</v>
      </c>
      <c r="N1349" s="4">
        <f t="shared" si="21"/>
        <v>19666.418884120172</v>
      </c>
      <c r="O1349" s="3" cm="1">
        <f t="array" ref="O1349">_xlfn.IFS(AND(K1349="Broker",J1349="Resale"),F1349*0.5,AND(K1349="Owner",J1349="Resale"),F1349*0,AND(K1349="Builder",J1349="Resale"),F1349*0.3,AND(J1349="New",K1349="Broker"),F1349*0.1,AND(J1349="New",K1349="Owner"),F1349*0,AND(J1349="New",K1349="Builder"),F1349*0.5)</f>
        <v>11455689</v>
      </c>
    </row>
    <row r="1350" spans="1:15" x14ac:dyDescent="0.3">
      <c r="A1350" s="8" t="s">
        <v>1433</v>
      </c>
      <c r="B1350" s="4" t="s">
        <v>1286</v>
      </c>
      <c r="C1350" s="4" t="s">
        <v>1289</v>
      </c>
      <c r="D1350" s="4">
        <v>4</v>
      </c>
      <c r="E1350" s="4">
        <v>1868</v>
      </c>
      <c r="F1350" s="4">
        <v>44633133</v>
      </c>
      <c r="G1350" s="4">
        <v>4</v>
      </c>
      <c r="H1350" s="4">
        <v>2</v>
      </c>
      <c r="I1350" s="4" t="s">
        <v>18</v>
      </c>
      <c r="J1350" s="4" t="s">
        <v>23</v>
      </c>
      <c r="K1350" s="4" t="s">
        <v>20</v>
      </c>
      <c r="L1350" s="9">
        <v>45562</v>
      </c>
      <c r="M1350" s="9" t="str">
        <f>TEXT(Source_data[[#This Row],[Listing_Date]],"mmm-yy")</f>
        <v>Sep-24</v>
      </c>
      <c r="N1350" s="4">
        <f t="shared" si="21"/>
        <v>23893.540149892935</v>
      </c>
      <c r="O1350" s="3" cm="1">
        <f t="array" ref="O1350">_xlfn.IFS(AND(K1350="Broker",J1350="Resale"),F1350*0.5,AND(K1350="Owner",J1350="Resale"),F1350*0,AND(K1350="Builder",J1350="Resale"),F1350*0.3,AND(J1350="New",K1350="Broker"),F1350*0.1,AND(J1350="New",K1350="Owner"),F1350*0,AND(J1350="New",K1350="Builder"),F1350*0.5)</f>
        <v>22316566.5</v>
      </c>
    </row>
    <row r="1351" spans="1:15" x14ac:dyDescent="0.3">
      <c r="A1351" s="8" t="s">
        <v>1434</v>
      </c>
      <c r="B1351" s="4" t="s">
        <v>1286</v>
      </c>
      <c r="C1351" s="4" t="s">
        <v>1293</v>
      </c>
      <c r="D1351" s="4">
        <v>1</v>
      </c>
      <c r="E1351" s="4">
        <v>447</v>
      </c>
      <c r="F1351" s="4">
        <v>9087587</v>
      </c>
      <c r="G1351" s="4">
        <v>1</v>
      </c>
      <c r="H1351" s="4">
        <v>2</v>
      </c>
      <c r="I1351" s="4" t="s">
        <v>8</v>
      </c>
      <c r="J1351" s="4" t="s">
        <v>23</v>
      </c>
      <c r="K1351" s="4" t="s">
        <v>20</v>
      </c>
      <c r="L1351" s="9">
        <v>44928</v>
      </c>
      <c r="M1351" s="9" t="str">
        <f>TEXT(Source_data[[#This Row],[Listing_Date]],"mmm-yy")</f>
        <v>Jan-23</v>
      </c>
      <c r="N1351" s="4">
        <f t="shared" si="21"/>
        <v>20330.172259507832</v>
      </c>
      <c r="O1351" s="3" cm="1">
        <f t="array" ref="O1351">_xlfn.IFS(AND(K1351="Broker",J1351="Resale"),F1351*0.5,AND(K1351="Owner",J1351="Resale"),F1351*0,AND(K1351="Builder",J1351="Resale"),F1351*0.3,AND(J1351="New",K1351="Broker"),F1351*0.1,AND(J1351="New",K1351="Owner"),F1351*0,AND(J1351="New",K1351="Builder"),F1351*0.5)</f>
        <v>4543793.5</v>
      </c>
    </row>
    <row r="1352" spans="1:15" x14ac:dyDescent="0.3">
      <c r="A1352" s="8" t="s">
        <v>1435</v>
      </c>
      <c r="B1352" s="4" t="s">
        <v>1286</v>
      </c>
      <c r="C1352" s="4" t="s">
        <v>1291</v>
      </c>
      <c r="D1352" s="4">
        <v>2</v>
      </c>
      <c r="E1352" s="4">
        <v>935</v>
      </c>
      <c r="F1352" s="4">
        <v>18691028</v>
      </c>
      <c r="G1352" s="4">
        <v>1</v>
      </c>
      <c r="H1352" s="4">
        <v>1</v>
      </c>
      <c r="I1352" s="4" t="s">
        <v>8</v>
      </c>
      <c r="J1352" s="4" t="s">
        <v>19</v>
      </c>
      <c r="K1352" s="4" t="s">
        <v>24</v>
      </c>
      <c r="L1352" s="9">
        <v>45192</v>
      </c>
      <c r="M1352" s="9" t="str">
        <f>TEXT(Source_data[[#This Row],[Listing_Date]],"mmm-yy")</f>
        <v>Sep-23</v>
      </c>
      <c r="N1352" s="4">
        <f t="shared" si="21"/>
        <v>19990.404278074868</v>
      </c>
      <c r="O1352" s="3" cm="1">
        <f t="array" ref="O1352">_xlfn.IFS(AND(K1352="Broker",J1352="Resale"),F1352*0.5,AND(K1352="Owner",J1352="Resale"),F1352*0,AND(K1352="Builder",J1352="Resale"),F1352*0.3,AND(J1352="New",K1352="Broker"),F1352*0.1,AND(J1352="New",K1352="Owner"),F1352*0,AND(J1352="New",K1352="Builder"),F1352*0.5)</f>
        <v>9345514</v>
      </c>
    </row>
    <row r="1353" spans="1:15" x14ac:dyDescent="0.3">
      <c r="A1353" s="8" t="s">
        <v>1436</v>
      </c>
      <c r="B1353" s="4" t="s">
        <v>1286</v>
      </c>
      <c r="C1353" s="4" t="s">
        <v>1293</v>
      </c>
      <c r="D1353" s="4">
        <v>3</v>
      </c>
      <c r="E1353" s="4">
        <v>1155</v>
      </c>
      <c r="F1353" s="4">
        <v>29062257</v>
      </c>
      <c r="G1353" s="4">
        <v>3</v>
      </c>
      <c r="H1353" s="4">
        <v>2</v>
      </c>
      <c r="I1353" s="4" t="s">
        <v>8</v>
      </c>
      <c r="J1353" s="4" t="s">
        <v>19</v>
      </c>
      <c r="K1353" s="4" t="s">
        <v>36</v>
      </c>
      <c r="L1353" s="9">
        <v>45259</v>
      </c>
      <c r="M1353" s="9" t="str">
        <f>TEXT(Source_data[[#This Row],[Listing_Date]],"mmm-yy")</f>
        <v>Nov-23</v>
      </c>
      <c r="N1353" s="4">
        <f t="shared" si="21"/>
        <v>25162.127272727274</v>
      </c>
      <c r="O1353" s="3" cm="1">
        <f t="array" ref="O1353">_xlfn.IFS(AND(K1353="Broker",J1353="Resale"),F1353*0.5,AND(K1353="Owner",J1353="Resale"),F1353*0,AND(K1353="Builder",J1353="Resale"),F1353*0.3,AND(J1353="New",K1353="Broker"),F1353*0.1,AND(J1353="New",K1353="Owner"),F1353*0,AND(J1353="New",K1353="Builder"),F1353*0.5)</f>
        <v>0</v>
      </c>
    </row>
    <row r="1354" spans="1:15" x14ac:dyDescent="0.3">
      <c r="A1354" s="8" t="s">
        <v>1437</v>
      </c>
      <c r="B1354" s="4" t="s">
        <v>1286</v>
      </c>
      <c r="C1354" s="4" t="s">
        <v>1291</v>
      </c>
      <c r="D1354" s="4">
        <v>2</v>
      </c>
      <c r="E1354" s="4">
        <v>905</v>
      </c>
      <c r="F1354" s="4">
        <v>21654230</v>
      </c>
      <c r="G1354" s="4">
        <v>2</v>
      </c>
      <c r="H1354" s="4">
        <v>3</v>
      </c>
      <c r="I1354" s="4" t="s">
        <v>18</v>
      </c>
      <c r="J1354" s="4" t="s">
        <v>19</v>
      </c>
      <c r="K1354" s="4" t="s">
        <v>36</v>
      </c>
      <c r="L1354" s="9">
        <v>45116</v>
      </c>
      <c r="M1354" s="9" t="str">
        <f>TEXT(Source_data[[#This Row],[Listing_Date]],"mmm-yy")</f>
        <v>Jul-23</v>
      </c>
      <c r="N1354" s="4">
        <f t="shared" si="21"/>
        <v>23927.325966850829</v>
      </c>
      <c r="O1354" s="3" cm="1">
        <f t="array" ref="O1354">_xlfn.IFS(AND(K1354="Broker",J1354="Resale"),F1354*0.5,AND(K1354="Owner",J1354="Resale"),F1354*0,AND(K1354="Builder",J1354="Resale"),F1354*0.3,AND(J1354="New",K1354="Broker"),F1354*0.1,AND(J1354="New",K1354="Owner"),F1354*0,AND(J1354="New",K1354="Builder"),F1354*0.5)</f>
        <v>0</v>
      </c>
    </row>
    <row r="1355" spans="1:15" x14ac:dyDescent="0.3">
      <c r="A1355" s="8" t="s">
        <v>1438</v>
      </c>
      <c r="B1355" s="4" t="s">
        <v>1286</v>
      </c>
      <c r="C1355" s="4" t="s">
        <v>1291</v>
      </c>
      <c r="D1355" s="4">
        <v>2</v>
      </c>
      <c r="E1355" s="4">
        <v>1253</v>
      </c>
      <c r="F1355" s="4">
        <v>27567021</v>
      </c>
      <c r="G1355" s="4">
        <v>3</v>
      </c>
      <c r="H1355" s="4">
        <v>1</v>
      </c>
      <c r="I1355" s="4" t="s">
        <v>18</v>
      </c>
      <c r="J1355" s="4" t="s">
        <v>19</v>
      </c>
      <c r="K1355" s="4" t="s">
        <v>20</v>
      </c>
      <c r="L1355" s="9">
        <v>45579</v>
      </c>
      <c r="M1355" s="9" t="str">
        <f>TEXT(Source_data[[#This Row],[Listing_Date]],"mmm-yy")</f>
        <v>Oct-24</v>
      </c>
      <c r="N1355" s="4">
        <f t="shared" si="21"/>
        <v>22000.814844373504</v>
      </c>
      <c r="O1355" s="3" cm="1">
        <f t="array" ref="O1355">_xlfn.IFS(AND(K1355="Broker",J1355="Resale"),F1355*0.5,AND(K1355="Owner",J1355="Resale"),F1355*0,AND(K1355="Builder",J1355="Resale"),F1355*0.3,AND(J1355="New",K1355="Broker"),F1355*0.1,AND(J1355="New",K1355="Owner"),F1355*0,AND(J1355="New",K1355="Builder"),F1355*0.5)</f>
        <v>2756702.1</v>
      </c>
    </row>
    <row r="1356" spans="1:15" x14ac:dyDescent="0.3">
      <c r="A1356" s="8" t="s">
        <v>1439</v>
      </c>
      <c r="B1356" s="4" t="s">
        <v>1286</v>
      </c>
      <c r="C1356" s="4" t="s">
        <v>1289</v>
      </c>
      <c r="D1356" s="4">
        <v>2</v>
      </c>
      <c r="E1356" s="4">
        <v>875</v>
      </c>
      <c r="F1356" s="4">
        <v>17225754</v>
      </c>
      <c r="G1356" s="4">
        <v>2</v>
      </c>
      <c r="H1356" s="4">
        <v>3</v>
      </c>
      <c r="I1356" s="4" t="s">
        <v>18</v>
      </c>
      <c r="J1356" s="4" t="s">
        <v>23</v>
      </c>
      <c r="K1356" s="4" t="s">
        <v>36</v>
      </c>
      <c r="L1356" s="9">
        <v>45384</v>
      </c>
      <c r="M1356" s="9" t="str">
        <f>TEXT(Source_data[[#This Row],[Listing_Date]],"mmm-yy")</f>
        <v>Apr-24</v>
      </c>
      <c r="N1356" s="4">
        <f t="shared" si="21"/>
        <v>19686.576000000001</v>
      </c>
      <c r="O1356" s="3" cm="1">
        <f t="array" ref="O1356">_xlfn.IFS(AND(K1356="Broker",J1356="Resale"),F1356*0.5,AND(K1356="Owner",J1356="Resale"),F1356*0,AND(K1356="Builder",J1356="Resale"),F1356*0.3,AND(J1356="New",K1356="Broker"),F1356*0.1,AND(J1356="New",K1356="Owner"),F1356*0,AND(J1356="New",K1356="Builder"),F1356*0.5)</f>
        <v>0</v>
      </c>
    </row>
    <row r="1357" spans="1:15" x14ac:dyDescent="0.3">
      <c r="A1357" s="8" t="s">
        <v>1440</v>
      </c>
      <c r="B1357" s="4" t="s">
        <v>1286</v>
      </c>
      <c r="C1357" s="4" t="s">
        <v>1305</v>
      </c>
      <c r="D1357" s="4">
        <v>1</v>
      </c>
      <c r="E1357" s="4">
        <v>599</v>
      </c>
      <c r="F1357" s="4">
        <v>13560836</v>
      </c>
      <c r="G1357" s="4">
        <v>1</v>
      </c>
      <c r="H1357" s="4">
        <v>1</v>
      </c>
      <c r="I1357" s="4" t="s">
        <v>8</v>
      </c>
      <c r="J1357" s="4" t="s">
        <v>23</v>
      </c>
      <c r="K1357" s="4" t="s">
        <v>20</v>
      </c>
      <c r="L1357" s="9">
        <v>45600</v>
      </c>
      <c r="M1357" s="9" t="str">
        <f>TEXT(Source_data[[#This Row],[Listing_Date]],"mmm-yy")</f>
        <v>Nov-24</v>
      </c>
      <c r="N1357" s="4">
        <f t="shared" si="21"/>
        <v>22639.125208681136</v>
      </c>
      <c r="O1357" s="3" cm="1">
        <f t="array" ref="O1357">_xlfn.IFS(AND(K1357="Broker",J1357="Resale"),F1357*0.5,AND(K1357="Owner",J1357="Resale"),F1357*0,AND(K1357="Builder",J1357="Resale"),F1357*0.3,AND(J1357="New",K1357="Broker"),F1357*0.1,AND(J1357="New",K1357="Owner"),F1357*0,AND(J1357="New",K1357="Builder"),F1357*0.5)</f>
        <v>6780418</v>
      </c>
    </row>
    <row r="1358" spans="1:15" x14ac:dyDescent="0.3">
      <c r="A1358" s="8" t="s">
        <v>1441</v>
      </c>
      <c r="B1358" s="4" t="s">
        <v>1286</v>
      </c>
      <c r="C1358" s="4" t="s">
        <v>1287</v>
      </c>
      <c r="D1358" s="4">
        <v>1</v>
      </c>
      <c r="E1358" s="4">
        <v>350</v>
      </c>
      <c r="F1358" s="4">
        <v>9162328</v>
      </c>
      <c r="G1358" s="4">
        <v>1</v>
      </c>
      <c r="H1358" s="4">
        <v>2</v>
      </c>
      <c r="I1358" s="4" t="s">
        <v>27</v>
      </c>
      <c r="J1358" s="4" t="s">
        <v>23</v>
      </c>
      <c r="K1358" s="4" t="s">
        <v>20</v>
      </c>
      <c r="L1358" s="9">
        <v>45125</v>
      </c>
      <c r="M1358" s="9" t="str">
        <f>TEXT(Source_data[[#This Row],[Listing_Date]],"mmm-yy")</f>
        <v>Jul-23</v>
      </c>
      <c r="N1358" s="4">
        <f t="shared" si="21"/>
        <v>26178.080000000002</v>
      </c>
      <c r="O1358" s="3" cm="1">
        <f t="array" ref="O1358">_xlfn.IFS(AND(K1358="Broker",J1358="Resale"),F1358*0.5,AND(K1358="Owner",J1358="Resale"),F1358*0,AND(K1358="Builder",J1358="Resale"),F1358*0.3,AND(J1358="New",K1358="Broker"),F1358*0.1,AND(J1358="New",K1358="Owner"),F1358*0,AND(J1358="New",K1358="Builder"),F1358*0.5)</f>
        <v>4581164</v>
      </c>
    </row>
    <row r="1359" spans="1:15" x14ac:dyDescent="0.3">
      <c r="A1359" s="8" t="s">
        <v>1442</v>
      </c>
      <c r="B1359" s="4" t="s">
        <v>1286</v>
      </c>
      <c r="C1359" s="4" t="s">
        <v>1293</v>
      </c>
      <c r="D1359" s="4">
        <v>2</v>
      </c>
      <c r="E1359" s="4">
        <v>989</v>
      </c>
      <c r="F1359" s="4">
        <v>20380761</v>
      </c>
      <c r="G1359" s="4">
        <v>2</v>
      </c>
      <c r="H1359" s="4">
        <v>1</v>
      </c>
      <c r="I1359" s="4" t="s">
        <v>18</v>
      </c>
      <c r="J1359" s="4" t="s">
        <v>23</v>
      </c>
      <c r="K1359" s="4" t="s">
        <v>36</v>
      </c>
      <c r="L1359" s="9">
        <v>45163</v>
      </c>
      <c r="M1359" s="9" t="str">
        <f>TEXT(Source_data[[#This Row],[Listing_Date]],"mmm-yy")</f>
        <v>Aug-23</v>
      </c>
      <c r="N1359" s="4">
        <f t="shared" si="21"/>
        <v>20607.442871587464</v>
      </c>
      <c r="O1359" s="3" cm="1">
        <f t="array" ref="O1359">_xlfn.IFS(AND(K1359="Broker",J1359="Resale"),F1359*0.5,AND(K1359="Owner",J1359="Resale"),F1359*0,AND(K1359="Builder",J1359="Resale"),F1359*0.3,AND(J1359="New",K1359="Broker"),F1359*0.1,AND(J1359="New",K1359="Owner"),F1359*0,AND(J1359="New",K1359="Builder"),F1359*0.5)</f>
        <v>0</v>
      </c>
    </row>
    <row r="1360" spans="1:15" x14ac:dyDescent="0.3">
      <c r="A1360" s="8" t="s">
        <v>1443</v>
      </c>
      <c r="B1360" s="4" t="s">
        <v>1286</v>
      </c>
      <c r="C1360" s="4" t="s">
        <v>1289</v>
      </c>
      <c r="D1360" s="4">
        <v>2</v>
      </c>
      <c r="E1360" s="4">
        <v>911</v>
      </c>
      <c r="F1360" s="4">
        <v>12187284</v>
      </c>
      <c r="G1360" s="4">
        <v>2</v>
      </c>
      <c r="H1360" s="4">
        <v>2</v>
      </c>
      <c r="I1360" s="4" t="s">
        <v>8</v>
      </c>
      <c r="J1360" s="4" t="s">
        <v>23</v>
      </c>
      <c r="K1360" s="4" t="s">
        <v>24</v>
      </c>
      <c r="L1360" s="9">
        <v>45736</v>
      </c>
      <c r="M1360" s="9" t="str">
        <f>TEXT(Source_data[[#This Row],[Listing_Date]],"mmm-yy")</f>
        <v>Mar-25</v>
      </c>
      <c r="N1360" s="4">
        <f t="shared" si="21"/>
        <v>13377.918770581779</v>
      </c>
      <c r="O1360" s="3" cm="1">
        <f t="array" ref="O1360">_xlfn.IFS(AND(K1360="Broker",J1360="Resale"),F1360*0.5,AND(K1360="Owner",J1360="Resale"),F1360*0,AND(K1360="Builder",J1360="Resale"),F1360*0.3,AND(J1360="New",K1360="Broker"),F1360*0.1,AND(J1360="New",K1360="Owner"),F1360*0,AND(J1360="New",K1360="Builder"),F1360*0.5)</f>
        <v>3656185.1999999997</v>
      </c>
    </row>
    <row r="1361" spans="1:15" x14ac:dyDescent="0.3">
      <c r="A1361" s="8" t="s">
        <v>1444</v>
      </c>
      <c r="B1361" s="4" t="s">
        <v>1286</v>
      </c>
      <c r="C1361" s="4" t="s">
        <v>1291</v>
      </c>
      <c r="D1361" s="4">
        <v>2</v>
      </c>
      <c r="E1361" s="4">
        <v>832</v>
      </c>
      <c r="F1361" s="4">
        <v>17462185</v>
      </c>
      <c r="G1361" s="4">
        <v>3</v>
      </c>
      <c r="H1361" s="4">
        <v>2</v>
      </c>
      <c r="I1361" s="4" t="s">
        <v>27</v>
      </c>
      <c r="J1361" s="4" t="s">
        <v>19</v>
      </c>
      <c r="K1361" s="4" t="s">
        <v>24</v>
      </c>
      <c r="L1361" s="9">
        <v>45873</v>
      </c>
      <c r="M1361" s="9" t="str">
        <f>TEXT(Source_data[[#This Row],[Listing_Date]],"mmm-yy")</f>
        <v>Aug-25</v>
      </c>
      <c r="N1361" s="4">
        <f t="shared" si="21"/>
        <v>20988.203125</v>
      </c>
      <c r="O1361" s="3" cm="1">
        <f t="array" ref="O1361">_xlfn.IFS(AND(K1361="Broker",J1361="Resale"),F1361*0.5,AND(K1361="Owner",J1361="Resale"),F1361*0,AND(K1361="Builder",J1361="Resale"),F1361*0.3,AND(J1361="New",K1361="Broker"),F1361*0.1,AND(J1361="New",K1361="Owner"),F1361*0,AND(J1361="New",K1361="Builder"),F1361*0.5)</f>
        <v>8731092.5</v>
      </c>
    </row>
    <row r="1362" spans="1:15" x14ac:dyDescent="0.3">
      <c r="A1362" s="8" t="s">
        <v>1445</v>
      </c>
      <c r="B1362" s="4" t="s">
        <v>1286</v>
      </c>
      <c r="C1362" s="4" t="s">
        <v>1293</v>
      </c>
      <c r="D1362" s="4">
        <v>2</v>
      </c>
      <c r="E1362" s="4">
        <v>1113</v>
      </c>
      <c r="F1362" s="4">
        <v>26642650</v>
      </c>
      <c r="G1362" s="4">
        <v>2</v>
      </c>
      <c r="H1362" s="4">
        <v>1</v>
      </c>
      <c r="I1362" s="4" t="s">
        <v>8</v>
      </c>
      <c r="J1362" s="4" t="s">
        <v>23</v>
      </c>
      <c r="K1362" s="4" t="s">
        <v>20</v>
      </c>
      <c r="L1362" s="9">
        <v>45526</v>
      </c>
      <c r="M1362" s="9" t="str">
        <f>TEXT(Source_data[[#This Row],[Listing_Date]],"mmm-yy")</f>
        <v>Aug-24</v>
      </c>
      <c r="N1362" s="4">
        <f t="shared" si="21"/>
        <v>23937.690925426774</v>
      </c>
      <c r="O1362" s="3" cm="1">
        <f t="array" ref="O1362">_xlfn.IFS(AND(K1362="Broker",J1362="Resale"),F1362*0.5,AND(K1362="Owner",J1362="Resale"),F1362*0,AND(K1362="Builder",J1362="Resale"),F1362*0.3,AND(J1362="New",K1362="Broker"),F1362*0.1,AND(J1362="New",K1362="Owner"),F1362*0,AND(J1362="New",K1362="Builder"),F1362*0.5)</f>
        <v>13321325</v>
      </c>
    </row>
    <row r="1363" spans="1:15" x14ac:dyDescent="0.3">
      <c r="A1363" s="8" t="s">
        <v>1446</v>
      </c>
      <c r="B1363" s="4" t="s">
        <v>1447</v>
      </c>
      <c r="C1363" s="4" t="s">
        <v>1448</v>
      </c>
      <c r="D1363" s="4">
        <v>4</v>
      </c>
      <c r="E1363" s="4">
        <v>2547</v>
      </c>
      <c r="F1363" s="4">
        <v>22189240</v>
      </c>
      <c r="G1363" s="4">
        <v>3</v>
      </c>
      <c r="H1363" s="4">
        <v>2</v>
      </c>
      <c r="I1363" s="4" t="s">
        <v>27</v>
      </c>
      <c r="J1363" s="4" t="s">
        <v>19</v>
      </c>
      <c r="K1363" s="4" t="s">
        <v>20</v>
      </c>
      <c r="L1363" s="9">
        <v>45114</v>
      </c>
      <c r="M1363" s="9" t="str">
        <f>TEXT(Source_data[[#This Row],[Listing_Date]],"mmm-yy")</f>
        <v>Jul-23</v>
      </c>
      <c r="N1363" s="4">
        <f t="shared" si="21"/>
        <v>8711.9120533961523</v>
      </c>
      <c r="O1363" s="3" cm="1">
        <f t="array" ref="O1363">_xlfn.IFS(AND(K1363="Broker",J1363="Resale"),F1363*0.5,AND(K1363="Owner",J1363="Resale"),F1363*0,AND(K1363="Builder",J1363="Resale"),F1363*0.3,AND(J1363="New",K1363="Broker"),F1363*0.1,AND(J1363="New",K1363="Owner"),F1363*0,AND(J1363="New",K1363="Builder"),F1363*0.5)</f>
        <v>2218924</v>
      </c>
    </row>
    <row r="1364" spans="1:15" x14ac:dyDescent="0.3">
      <c r="A1364" s="8" t="s">
        <v>1449</v>
      </c>
      <c r="B1364" s="4" t="s">
        <v>1447</v>
      </c>
      <c r="C1364" s="4" t="s">
        <v>1448</v>
      </c>
      <c r="D1364" s="4">
        <v>2</v>
      </c>
      <c r="E1364" s="4">
        <v>425</v>
      </c>
      <c r="F1364" s="4">
        <v>3799856</v>
      </c>
      <c r="G1364" s="4">
        <v>1</v>
      </c>
      <c r="H1364" s="4">
        <v>3</v>
      </c>
      <c r="I1364" s="4" t="s">
        <v>8</v>
      </c>
      <c r="J1364" s="4" t="s">
        <v>23</v>
      </c>
      <c r="K1364" s="4" t="s">
        <v>36</v>
      </c>
      <c r="L1364" s="9">
        <v>45302</v>
      </c>
      <c r="M1364" s="9" t="str">
        <f>TEXT(Source_data[[#This Row],[Listing_Date]],"mmm-yy")</f>
        <v>Jan-24</v>
      </c>
      <c r="N1364" s="4">
        <f t="shared" si="21"/>
        <v>8940.8376470588228</v>
      </c>
      <c r="O1364" s="3" cm="1">
        <f t="array" ref="O1364">_xlfn.IFS(AND(K1364="Broker",J1364="Resale"),F1364*0.5,AND(K1364="Owner",J1364="Resale"),F1364*0,AND(K1364="Builder",J1364="Resale"),F1364*0.3,AND(J1364="New",K1364="Broker"),F1364*0.1,AND(J1364="New",K1364="Owner"),F1364*0,AND(J1364="New",K1364="Builder"),F1364*0.5)</f>
        <v>0</v>
      </c>
    </row>
    <row r="1365" spans="1:15" x14ac:dyDescent="0.3">
      <c r="A1365" s="8" t="s">
        <v>1450</v>
      </c>
      <c r="B1365" s="4" t="s">
        <v>1447</v>
      </c>
      <c r="C1365" s="4" t="s">
        <v>1451</v>
      </c>
      <c r="D1365" s="4">
        <v>3</v>
      </c>
      <c r="E1365" s="4">
        <v>1187</v>
      </c>
      <c r="F1365" s="4">
        <v>11485173</v>
      </c>
      <c r="G1365" s="4">
        <v>2</v>
      </c>
      <c r="H1365" s="4">
        <v>2</v>
      </c>
      <c r="I1365" s="4" t="s">
        <v>27</v>
      </c>
      <c r="J1365" s="4" t="s">
        <v>19</v>
      </c>
      <c r="K1365" s="4" t="s">
        <v>36</v>
      </c>
      <c r="L1365" s="9">
        <v>45200</v>
      </c>
      <c r="M1365" s="9" t="str">
        <f>TEXT(Source_data[[#This Row],[Listing_Date]],"mmm-yy")</f>
        <v>Oct-23</v>
      </c>
      <c r="N1365" s="4">
        <f t="shared" si="21"/>
        <v>9675.7986520640261</v>
      </c>
      <c r="O1365" s="3" cm="1">
        <f t="array" ref="O1365">_xlfn.IFS(AND(K1365="Broker",J1365="Resale"),F1365*0.5,AND(K1365="Owner",J1365="Resale"),F1365*0,AND(K1365="Builder",J1365="Resale"),F1365*0.3,AND(J1365="New",K1365="Broker"),F1365*0.1,AND(J1365="New",K1365="Owner"),F1365*0,AND(J1365="New",K1365="Builder"),F1365*0.5)</f>
        <v>0</v>
      </c>
    </row>
    <row r="1366" spans="1:15" x14ac:dyDescent="0.3">
      <c r="A1366" s="8" t="s">
        <v>1452</v>
      </c>
      <c r="B1366" s="4" t="s">
        <v>1447</v>
      </c>
      <c r="C1366" s="4" t="s">
        <v>1453</v>
      </c>
      <c r="D1366" s="4">
        <v>2</v>
      </c>
      <c r="E1366" s="4">
        <v>1324</v>
      </c>
      <c r="F1366" s="4">
        <v>13362312</v>
      </c>
      <c r="G1366" s="4">
        <v>3</v>
      </c>
      <c r="H1366" s="4">
        <v>4</v>
      </c>
      <c r="I1366" s="4" t="s">
        <v>27</v>
      </c>
      <c r="J1366" s="4" t="s">
        <v>23</v>
      </c>
      <c r="K1366" s="4" t="s">
        <v>36</v>
      </c>
      <c r="L1366" s="9">
        <v>45140</v>
      </c>
      <c r="M1366" s="9" t="str">
        <f>TEXT(Source_data[[#This Row],[Listing_Date]],"mmm-yy")</f>
        <v>Aug-23</v>
      </c>
      <c r="N1366" s="4">
        <f t="shared" si="21"/>
        <v>10092.380664652568</v>
      </c>
      <c r="O1366" s="3" cm="1">
        <f t="array" ref="O1366">_xlfn.IFS(AND(K1366="Broker",J1366="Resale"),F1366*0.5,AND(K1366="Owner",J1366="Resale"),F1366*0,AND(K1366="Builder",J1366="Resale"),F1366*0.3,AND(J1366="New",K1366="Broker"),F1366*0.1,AND(J1366="New",K1366="Owner"),F1366*0,AND(J1366="New",K1366="Builder"),F1366*0.5)</f>
        <v>0</v>
      </c>
    </row>
    <row r="1367" spans="1:15" x14ac:dyDescent="0.3">
      <c r="A1367" s="8" t="s">
        <v>1454</v>
      </c>
      <c r="B1367" s="4" t="s">
        <v>1447</v>
      </c>
      <c r="C1367" s="4" t="s">
        <v>1448</v>
      </c>
      <c r="D1367" s="4">
        <v>3</v>
      </c>
      <c r="E1367" s="4">
        <v>1052</v>
      </c>
      <c r="F1367" s="4">
        <v>6185055</v>
      </c>
      <c r="G1367" s="4">
        <v>3</v>
      </c>
      <c r="H1367" s="4">
        <v>1</v>
      </c>
      <c r="I1367" s="4" t="s">
        <v>18</v>
      </c>
      <c r="J1367" s="4" t="s">
        <v>19</v>
      </c>
      <c r="K1367" s="4" t="s">
        <v>20</v>
      </c>
      <c r="L1367" s="9">
        <v>45140</v>
      </c>
      <c r="M1367" s="9" t="str">
        <f>TEXT(Source_data[[#This Row],[Listing_Date]],"mmm-yy")</f>
        <v>Aug-23</v>
      </c>
      <c r="N1367" s="4">
        <f t="shared" si="21"/>
        <v>5879.3298479087453</v>
      </c>
      <c r="O1367" s="3" cm="1">
        <f t="array" ref="O1367">_xlfn.IFS(AND(K1367="Broker",J1367="Resale"),F1367*0.5,AND(K1367="Owner",J1367="Resale"),F1367*0,AND(K1367="Builder",J1367="Resale"),F1367*0.3,AND(J1367="New",K1367="Broker"),F1367*0.1,AND(J1367="New",K1367="Owner"),F1367*0,AND(J1367="New",K1367="Builder"),F1367*0.5)</f>
        <v>618505.5</v>
      </c>
    </row>
    <row r="1368" spans="1:15" x14ac:dyDescent="0.3">
      <c r="A1368" s="8" t="s">
        <v>1455</v>
      </c>
      <c r="B1368" s="4" t="s">
        <v>1447</v>
      </c>
      <c r="C1368" s="4" t="s">
        <v>1453</v>
      </c>
      <c r="D1368" s="4">
        <v>1</v>
      </c>
      <c r="E1368" s="4">
        <v>794</v>
      </c>
      <c r="F1368" s="4">
        <v>8912906</v>
      </c>
      <c r="G1368" s="4">
        <v>1</v>
      </c>
      <c r="H1368" s="4">
        <v>0</v>
      </c>
      <c r="I1368" s="4" t="s">
        <v>8</v>
      </c>
      <c r="J1368" s="4" t="s">
        <v>23</v>
      </c>
      <c r="K1368" s="4" t="s">
        <v>36</v>
      </c>
      <c r="L1368" s="9">
        <v>45226</v>
      </c>
      <c r="M1368" s="9" t="str">
        <f>TEXT(Source_data[[#This Row],[Listing_Date]],"mmm-yy")</f>
        <v>Oct-23</v>
      </c>
      <c r="N1368" s="4">
        <f t="shared" si="21"/>
        <v>11225.32241813602</v>
      </c>
      <c r="O1368" s="3" cm="1">
        <f t="array" ref="O1368">_xlfn.IFS(AND(K1368="Broker",J1368="Resale"),F1368*0.5,AND(K1368="Owner",J1368="Resale"),F1368*0,AND(K1368="Builder",J1368="Resale"),F1368*0.3,AND(J1368="New",K1368="Broker"),F1368*0.1,AND(J1368="New",K1368="Owner"),F1368*0,AND(J1368="New",K1368="Builder"),F1368*0.5)</f>
        <v>0</v>
      </c>
    </row>
    <row r="1369" spans="1:15" x14ac:dyDescent="0.3">
      <c r="A1369" s="8" t="s">
        <v>1456</v>
      </c>
      <c r="B1369" s="4" t="s">
        <v>1447</v>
      </c>
      <c r="C1369" s="4" t="s">
        <v>1453</v>
      </c>
      <c r="D1369" s="4">
        <v>5</v>
      </c>
      <c r="E1369" s="4">
        <v>2675</v>
      </c>
      <c r="F1369" s="4">
        <v>27334180</v>
      </c>
      <c r="G1369" s="4">
        <v>4</v>
      </c>
      <c r="H1369" s="4">
        <v>1</v>
      </c>
      <c r="I1369" s="4" t="s">
        <v>18</v>
      </c>
      <c r="J1369" s="4" t="s">
        <v>23</v>
      </c>
      <c r="K1369" s="4" t="s">
        <v>24</v>
      </c>
      <c r="L1369" s="9">
        <v>45340</v>
      </c>
      <c r="M1369" s="9" t="str">
        <f>TEXT(Source_data[[#This Row],[Listing_Date]],"mmm-yy")</f>
        <v>Feb-24</v>
      </c>
      <c r="N1369" s="4">
        <f t="shared" si="21"/>
        <v>10218.385046728972</v>
      </c>
      <c r="O1369" s="3" cm="1">
        <f t="array" ref="O1369">_xlfn.IFS(AND(K1369="Broker",J1369="Resale"),F1369*0.5,AND(K1369="Owner",J1369="Resale"),F1369*0,AND(K1369="Builder",J1369="Resale"),F1369*0.3,AND(J1369="New",K1369="Broker"),F1369*0.1,AND(J1369="New",K1369="Owner"),F1369*0,AND(J1369="New",K1369="Builder"),F1369*0.5)</f>
        <v>8200254</v>
      </c>
    </row>
    <row r="1370" spans="1:15" x14ac:dyDescent="0.3">
      <c r="A1370" s="8" t="s">
        <v>1457</v>
      </c>
      <c r="B1370" s="4" t="s">
        <v>1447</v>
      </c>
      <c r="C1370" s="4" t="s">
        <v>1451</v>
      </c>
      <c r="D1370" s="4">
        <v>3</v>
      </c>
      <c r="E1370" s="4">
        <v>1156</v>
      </c>
      <c r="F1370" s="4">
        <v>10173850</v>
      </c>
      <c r="G1370" s="4">
        <v>2</v>
      </c>
      <c r="H1370" s="4">
        <v>3</v>
      </c>
      <c r="I1370" s="4" t="s">
        <v>8</v>
      </c>
      <c r="J1370" s="4" t="s">
        <v>23</v>
      </c>
      <c r="K1370" s="4" t="s">
        <v>24</v>
      </c>
      <c r="L1370" s="9">
        <v>45171</v>
      </c>
      <c r="M1370" s="9" t="str">
        <f>TEXT(Source_data[[#This Row],[Listing_Date]],"mmm-yy")</f>
        <v>Sep-23</v>
      </c>
      <c r="N1370" s="4">
        <f t="shared" si="21"/>
        <v>8800.908304498269</v>
      </c>
      <c r="O1370" s="3" cm="1">
        <f t="array" ref="O1370">_xlfn.IFS(AND(K1370="Broker",J1370="Resale"),F1370*0.5,AND(K1370="Owner",J1370="Resale"),F1370*0,AND(K1370="Builder",J1370="Resale"),F1370*0.3,AND(J1370="New",K1370="Broker"),F1370*0.1,AND(J1370="New",K1370="Owner"),F1370*0,AND(J1370="New",K1370="Builder"),F1370*0.5)</f>
        <v>3052155</v>
      </c>
    </row>
    <row r="1371" spans="1:15" x14ac:dyDescent="0.3">
      <c r="A1371" s="8" t="s">
        <v>1458</v>
      </c>
      <c r="B1371" s="4" t="s">
        <v>1447</v>
      </c>
      <c r="C1371" s="4" t="s">
        <v>1448</v>
      </c>
      <c r="D1371" s="4">
        <v>4</v>
      </c>
      <c r="E1371" s="4">
        <v>1809</v>
      </c>
      <c r="F1371" s="4">
        <v>17773925</v>
      </c>
      <c r="G1371" s="4">
        <v>3</v>
      </c>
      <c r="H1371" s="4">
        <v>1</v>
      </c>
      <c r="I1371" s="4" t="s">
        <v>27</v>
      </c>
      <c r="J1371" s="4" t="s">
        <v>19</v>
      </c>
      <c r="K1371" s="4" t="s">
        <v>20</v>
      </c>
      <c r="L1371" s="9">
        <v>45564</v>
      </c>
      <c r="M1371" s="9" t="str">
        <f>TEXT(Source_data[[#This Row],[Listing_Date]],"mmm-yy")</f>
        <v>Sep-24</v>
      </c>
      <c r="N1371" s="4">
        <f t="shared" si="21"/>
        <v>9825.2763957987845</v>
      </c>
      <c r="O1371" s="3" cm="1">
        <f t="array" ref="O1371">_xlfn.IFS(AND(K1371="Broker",J1371="Resale"),F1371*0.5,AND(K1371="Owner",J1371="Resale"),F1371*0,AND(K1371="Builder",J1371="Resale"),F1371*0.3,AND(J1371="New",K1371="Broker"),F1371*0.1,AND(J1371="New",K1371="Owner"),F1371*0,AND(J1371="New",K1371="Builder"),F1371*0.5)</f>
        <v>1777392.5</v>
      </c>
    </row>
    <row r="1372" spans="1:15" x14ac:dyDescent="0.3">
      <c r="A1372" s="8" t="s">
        <v>1459</v>
      </c>
      <c r="B1372" s="4" t="s">
        <v>1447</v>
      </c>
      <c r="C1372" s="4" t="s">
        <v>1451</v>
      </c>
      <c r="D1372" s="4">
        <v>2</v>
      </c>
      <c r="E1372" s="4">
        <v>1295</v>
      </c>
      <c r="F1372" s="4">
        <v>14598342</v>
      </c>
      <c r="G1372" s="4">
        <v>2</v>
      </c>
      <c r="H1372" s="4">
        <v>2</v>
      </c>
      <c r="I1372" s="4" t="s">
        <v>8</v>
      </c>
      <c r="J1372" s="4" t="s">
        <v>19</v>
      </c>
      <c r="K1372" s="4" t="s">
        <v>36</v>
      </c>
      <c r="L1372" s="9">
        <v>45079</v>
      </c>
      <c r="M1372" s="9" t="str">
        <f>TEXT(Source_data[[#This Row],[Listing_Date]],"mmm-yy")</f>
        <v>Jun-23</v>
      </c>
      <c r="N1372" s="4">
        <f t="shared" si="21"/>
        <v>11272.850965250966</v>
      </c>
      <c r="O1372" s="3" cm="1">
        <f t="array" ref="O1372">_xlfn.IFS(AND(K1372="Broker",J1372="Resale"),F1372*0.5,AND(K1372="Owner",J1372="Resale"),F1372*0,AND(K1372="Builder",J1372="Resale"),F1372*0.3,AND(J1372="New",K1372="Broker"),F1372*0.1,AND(J1372="New",K1372="Owner"),F1372*0,AND(J1372="New",K1372="Builder"),F1372*0.5)</f>
        <v>0</v>
      </c>
    </row>
    <row r="1373" spans="1:15" x14ac:dyDescent="0.3">
      <c r="A1373" s="8" t="s">
        <v>1460</v>
      </c>
      <c r="B1373" s="4" t="s">
        <v>1447</v>
      </c>
      <c r="C1373" s="4" t="s">
        <v>1461</v>
      </c>
      <c r="D1373" s="4">
        <v>1</v>
      </c>
      <c r="E1373" s="4">
        <v>567</v>
      </c>
      <c r="F1373" s="4">
        <v>5397769</v>
      </c>
      <c r="G1373" s="4">
        <v>1</v>
      </c>
      <c r="H1373" s="4">
        <v>1</v>
      </c>
      <c r="I1373" s="4" t="s">
        <v>8</v>
      </c>
      <c r="J1373" s="4" t="s">
        <v>19</v>
      </c>
      <c r="K1373" s="4" t="s">
        <v>20</v>
      </c>
      <c r="L1373" s="9">
        <v>45542</v>
      </c>
      <c r="M1373" s="9" t="str">
        <f>TEXT(Source_data[[#This Row],[Listing_Date]],"mmm-yy")</f>
        <v>Sep-24</v>
      </c>
      <c r="N1373" s="4">
        <f t="shared" si="21"/>
        <v>9519.8747795414456</v>
      </c>
      <c r="O1373" s="3" cm="1">
        <f t="array" ref="O1373">_xlfn.IFS(AND(K1373="Broker",J1373="Resale"),F1373*0.5,AND(K1373="Owner",J1373="Resale"),F1373*0,AND(K1373="Builder",J1373="Resale"),F1373*0.3,AND(J1373="New",K1373="Broker"),F1373*0.1,AND(J1373="New",K1373="Owner"),F1373*0,AND(J1373="New",K1373="Builder"),F1373*0.5)</f>
        <v>539776.9</v>
      </c>
    </row>
    <row r="1374" spans="1:15" x14ac:dyDescent="0.3">
      <c r="A1374" s="8" t="s">
        <v>1462</v>
      </c>
      <c r="B1374" s="4" t="s">
        <v>1447</v>
      </c>
      <c r="C1374" s="4" t="s">
        <v>1463</v>
      </c>
      <c r="D1374" s="4">
        <v>1</v>
      </c>
      <c r="E1374" s="4">
        <v>587</v>
      </c>
      <c r="F1374" s="4">
        <v>5410156</v>
      </c>
      <c r="G1374" s="4">
        <v>1</v>
      </c>
      <c r="H1374" s="4">
        <v>4</v>
      </c>
      <c r="I1374" s="4" t="s">
        <v>8</v>
      </c>
      <c r="J1374" s="4" t="s">
        <v>23</v>
      </c>
      <c r="K1374" s="4" t="s">
        <v>36</v>
      </c>
      <c r="L1374" s="9">
        <v>45373</v>
      </c>
      <c r="M1374" s="9" t="str">
        <f>TEXT(Source_data[[#This Row],[Listing_Date]],"mmm-yy")</f>
        <v>Mar-24</v>
      </c>
      <c r="N1374" s="4">
        <f t="shared" si="21"/>
        <v>9216.6201022146506</v>
      </c>
      <c r="O1374" s="3" cm="1">
        <f t="array" ref="O1374">_xlfn.IFS(AND(K1374="Broker",J1374="Resale"),F1374*0.5,AND(K1374="Owner",J1374="Resale"),F1374*0,AND(K1374="Builder",J1374="Resale"),F1374*0.3,AND(J1374="New",K1374="Broker"),F1374*0.1,AND(J1374="New",K1374="Owner"),F1374*0,AND(J1374="New",K1374="Builder"),F1374*0.5)</f>
        <v>0</v>
      </c>
    </row>
    <row r="1375" spans="1:15" x14ac:dyDescent="0.3">
      <c r="A1375" s="8" t="s">
        <v>1464</v>
      </c>
      <c r="B1375" s="4" t="s">
        <v>1447</v>
      </c>
      <c r="C1375" s="4" t="s">
        <v>1451</v>
      </c>
      <c r="D1375" s="4">
        <v>2</v>
      </c>
      <c r="E1375" s="4">
        <v>824</v>
      </c>
      <c r="F1375" s="4">
        <v>9011974</v>
      </c>
      <c r="G1375" s="4">
        <v>2</v>
      </c>
      <c r="H1375" s="4">
        <v>1</v>
      </c>
      <c r="I1375" s="4" t="s">
        <v>18</v>
      </c>
      <c r="J1375" s="4" t="s">
        <v>19</v>
      </c>
      <c r="K1375" s="4" t="s">
        <v>36</v>
      </c>
      <c r="L1375" s="9">
        <v>45448</v>
      </c>
      <c r="M1375" s="9" t="str">
        <f>TEXT(Source_data[[#This Row],[Listing_Date]],"mmm-yy")</f>
        <v>Jun-24</v>
      </c>
      <c r="N1375" s="4">
        <f t="shared" si="21"/>
        <v>10936.861650485436</v>
      </c>
      <c r="O1375" s="3" cm="1">
        <f t="array" ref="O1375">_xlfn.IFS(AND(K1375="Broker",J1375="Resale"),F1375*0.5,AND(K1375="Owner",J1375="Resale"),F1375*0,AND(K1375="Builder",J1375="Resale"),F1375*0.3,AND(J1375="New",K1375="Broker"),F1375*0.1,AND(J1375="New",K1375="Owner"),F1375*0,AND(J1375="New",K1375="Builder"),F1375*0.5)</f>
        <v>0</v>
      </c>
    </row>
    <row r="1376" spans="1:15" x14ac:dyDescent="0.3">
      <c r="A1376" s="8" t="s">
        <v>1465</v>
      </c>
      <c r="B1376" s="4" t="s">
        <v>1447</v>
      </c>
      <c r="C1376" s="4" t="s">
        <v>1453</v>
      </c>
      <c r="D1376" s="4">
        <v>1</v>
      </c>
      <c r="E1376" s="4">
        <v>644</v>
      </c>
      <c r="F1376" s="4">
        <v>5663453</v>
      </c>
      <c r="G1376" s="4">
        <v>1</v>
      </c>
      <c r="H1376" s="4">
        <v>2</v>
      </c>
      <c r="I1376" s="4" t="s">
        <v>27</v>
      </c>
      <c r="J1376" s="4" t="s">
        <v>23</v>
      </c>
      <c r="K1376" s="4" t="s">
        <v>24</v>
      </c>
      <c r="L1376" s="9">
        <v>45778</v>
      </c>
      <c r="M1376" s="9" t="str">
        <f>TEXT(Source_data[[#This Row],[Listing_Date]],"mmm-yy")</f>
        <v>May-25</v>
      </c>
      <c r="N1376" s="4">
        <f t="shared" si="21"/>
        <v>8794.1816770186342</v>
      </c>
      <c r="O1376" s="3" cm="1">
        <f t="array" ref="O1376">_xlfn.IFS(AND(K1376="Broker",J1376="Resale"),F1376*0.5,AND(K1376="Owner",J1376="Resale"),F1376*0,AND(K1376="Builder",J1376="Resale"),F1376*0.3,AND(J1376="New",K1376="Broker"),F1376*0.1,AND(J1376="New",K1376="Owner"),F1376*0,AND(J1376="New",K1376="Builder"),F1376*0.5)</f>
        <v>1699035.9</v>
      </c>
    </row>
    <row r="1377" spans="1:15" x14ac:dyDescent="0.3">
      <c r="A1377" s="8" t="s">
        <v>1466</v>
      </c>
      <c r="B1377" s="4" t="s">
        <v>1447</v>
      </c>
      <c r="C1377" s="4" t="s">
        <v>1448</v>
      </c>
      <c r="D1377" s="4">
        <v>2</v>
      </c>
      <c r="E1377" s="4">
        <v>819</v>
      </c>
      <c r="F1377" s="4">
        <v>8177855</v>
      </c>
      <c r="G1377" s="4">
        <v>2</v>
      </c>
      <c r="H1377" s="4">
        <v>0</v>
      </c>
      <c r="I1377" s="4" t="s">
        <v>18</v>
      </c>
      <c r="J1377" s="4" t="s">
        <v>19</v>
      </c>
      <c r="K1377" s="4" t="s">
        <v>24</v>
      </c>
      <c r="L1377" s="9">
        <v>45380</v>
      </c>
      <c r="M1377" s="9" t="str">
        <f>TEXT(Source_data[[#This Row],[Listing_Date]],"mmm-yy")</f>
        <v>Mar-24</v>
      </c>
      <c r="N1377" s="4">
        <f t="shared" si="21"/>
        <v>9985.1709401709395</v>
      </c>
      <c r="O1377" s="3" cm="1">
        <f t="array" ref="O1377">_xlfn.IFS(AND(K1377="Broker",J1377="Resale"),F1377*0.5,AND(K1377="Owner",J1377="Resale"),F1377*0,AND(K1377="Builder",J1377="Resale"),F1377*0.3,AND(J1377="New",K1377="Broker"),F1377*0.1,AND(J1377="New",K1377="Owner"),F1377*0,AND(J1377="New",K1377="Builder"),F1377*0.5)</f>
        <v>4088927.5</v>
      </c>
    </row>
    <row r="1378" spans="1:15" x14ac:dyDescent="0.3">
      <c r="A1378" s="8" t="s">
        <v>1467</v>
      </c>
      <c r="B1378" s="4" t="s">
        <v>1447</v>
      </c>
      <c r="C1378" s="4" t="s">
        <v>1461</v>
      </c>
      <c r="D1378" s="4">
        <v>5</v>
      </c>
      <c r="E1378" s="4">
        <v>2431</v>
      </c>
      <c r="F1378" s="4">
        <v>18839610</v>
      </c>
      <c r="G1378" s="4">
        <v>2</v>
      </c>
      <c r="H1378" s="4">
        <v>1</v>
      </c>
      <c r="I1378" s="4" t="s">
        <v>18</v>
      </c>
      <c r="J1378" s="4" t="s">
        <v>19</v>
      </c>
      <c r="K1378" s="4" t="s">
        <v>24</v>
      </c>
      <c r="L1378" s="9">
        <v>45100</v>
      </c>
      <c r="M1378" s="9" t="str">
        <f>TEXT(Source_data[[#This Row],[Listing_Date]],"mmm-yy")</f>
        <v>Jun-23</v>
      </c>
      <c r="N1378" s="4">
        <f t="shared" si="21"/>
        <v>7749.7367338543809</v>
      </c>
      <c r="O1378" s="3" cm="1">
        <f t="array" ref="O1378">_xlfn.IFS(AND(K1378="Broker",J1378="Resale"),F1378*0.5,AND(K1378="Owner",J1378="Resale"),F1378*0,AND(K1378="Builder",J1378="Resale"),F1378*0.3,AND(J1378="New",K1378="Broker"),F1378*0.1,AND(J1378="New",K1378="Owner"),F1378*0,AND(J1378="New",K1378="Builder"),F1378*0.5)</f>
        <v>9419805</v>
      </c>
    </row>
    <row r="1379" spans="1:15" x14ac:dyDescent="0.3">
      <c r="A1379" s="8" t="s">
        <v>1468</v>
      </c>
      <c r="B1379" s="4" t="s">
        <v>1447</v>
      </c>
      <c r="C1379" s="4" t="s">
        <v>1448</v>
      </c>
      <c r="D1379" s="4">
        <v>2</v>
      </c>
      <c r="E1379" s="4">
        <v>1339</v>
      </c>
      <c r="F1379" s="4">
        <v>8089074</v>
      </c>
      <c r="G1379" s="4">
        <v>2</v>
      </c>
      <c r="H1379" s="4">
        <v>1</v>
      </c>
      <c r="I1379" s="4" t="s">
        <v>18</v>
      </c>
      <c r="J1379" s="4" t="s">
        <v>19</v>
      </c>
      <c r="K1379" s="4" t="s">
        <v>20</v>
      </c>
      <c r="L1379" s="9">
        <v>45267</v>
      </c>
      <c r="M1379" s="9" t="str">
        <f>TEXT(Source_data[[#This Row],[Listing_Date]],"mmm-yy")</f>
        <v>Dec-23</v>
      </c>
      <c r="N1379" s="4">
        <f t="shared" si="21"/>
        <v>6041.1306945481701</v>
      </c>
      <c r="O1379" s="3" cm="1">
        <f t="array" ref="O1379">_xlfn.IFS(AND(K1379="Broker",J1379="Resale"),F1379*0.5,AND(K1379="Owner",J1379="Resale"),F1379*0,AND(K1379="Builder",J1379="Resale"),F1379*0.3,AND(J1379="New",K1379="Broker"),F1379*0.1,AND(J1379="New",K1379="Owner"),F1379*0,AND(J1379="New",K1379="Builder"),F1379*0.5)</f>
        <v>808907.4</v>
      </c>
    </row>
    <row r="1380" spans="1:15" x14ac:dyDescent="0.3">
      <c r="A1380" s="8" t="s">
        <v>1469</v>
      </c>
      <c r="B1380" s="4" t="s">
        <v>1447</v>
      </c>
      <c r="C1380" s="4" t="s">
        <v>1448</v>
      </c>
      <c r="D1380" s="4">
        <v>1</v>
      </c>
      <c r="E1380" s="4">
        <v>499</v>
      </c>
      <c r="F1380" s="4">
        <v>4464162</v>
      </c>
      <c r="G1380" s="4">
        <v>1</v>
      </c>
      <c r="H1380" s="4">
        <v>3</v>
      </c>
      <c r="I1380" s="4" t="s">
        <v>8</v>
      </c>
      <c r="J1380" s="4" t="s">
        <v>23</v>
      </c>
      <c r="K1380" s="4" t="s">
        <v>20</v>
      </c>
      <c r="L1380" s="9">
        <v>45079</v>
      </c>
      <c r="M1380" s="9" t="str">
        <f>TEXT(Source_data[[#This Row],[Listing_Date]],"mmm-yy")</f>
        <v>Jun-23</v>
      </c>
      <c r="N1380" s="4">
        <f t="shared" si="21"/>
        <v>8946.2164328657309</v>
      </c>
      <c r="O1380" s="3" cm="1">
        <f t="array" ref="O1380">_xlfn.IFS(AND(K1380="Broker",J1380="Resale"),F1380*0.5,AND(K1380="Owner",J1380="Resale"),F1380*0,AND(K1380="Builder",J1380="Resale"),F1380*0.3,AND(J1380="New",K1380="Broker"),F1380*0.1,AND(J1380="New",K1380="Owner"),F1380*0,AND(J1380="New",K1380="Builder"),F1380*0.5)</f>
        <v>2232081</v>
      </c>
    </row>
    <row r="1381" spans="1:15" x14ac:dyDescent="0.3">
      <c r="A1381" s="8" t="s">
        <v>1470</v>
      </c>
      <c r="B1381" s="4" t="s">
        <v>1447</v>
      </c>
      <c r="C1381" s="4" t="s">
        <v>1463</v>
      </c>
      <c r="D1381" s="4">
        <v>2</v>
      </c>
      <c r="E1381" s="4">
        <v>873</v>
      </c>
      <c r="F1381" s="4">
        <v>6626643</v>
      </c>
      <c r="G1381" s="4">
        <v>2</v>
      </c>
      <c r="H1381" s="4">
        <v>2</v>
      </c>
      <c r="I1381" s="4" t="s">
        <v>18</v>
      </c>
      <c r="J1381" s="4" t="s">
        <v>23</v>
      </c>
      <c r="K1381" s="4" t="s">
        <v>20</v>
      </c>
      <c r="L1381" s="9">
        <v>45342</v>
      </c>
      <c r="M1381" s="9" t="str">
        <f>TEXT(Source_data[[#This Row],[Listing_Date]],"mmm-yy")</f>
        <v>Feb-24</v>
      </c>
      <c r="N1381" s="4">
        <f t="shared" si="21"/>
        <v>7590.6563573883159</v>
      </c>
      <c r="O1381" s="3" cm="1">
        <f t="array" ref="O1381">_xlfn.IFS(AND(K1381="Broker",J1381="Resale"),F1381*0.5,AND(K1381="Owner",J1381="Resale"),F1381*0,AND(K1381="Builder",J1381="Resale"),F1381*0.3,AND(J1381="New",K1381="Broker"),F1381*0.1,AND(J1381="New",K1381="Owner"),F1381*0,AND(J1381="New",K1381="Builder"),F1381*0.5)</f>
        <v>3313321.5</v>
      </c>
    </row>
    <row r="1382" spans="1:15" x14ac:dyDescent="0.3">
      <c r="A1382" s="8" t="s">
        <v>1471</v>
      </c>
      <c r="B1382" s="4" t="s">
        <v>1447</v>
      </c>
      <c r="C1382" s="4" t="s">
        <v>1453</v>
      </c>
      <c r="D1382" s="4">
        <v>3</v>
      </c>
      <c r="E1382" s="4">
        <v>1473</v>
      </c>
      <c r="F1382" s="4">
        <v>13215383</v>
      </c>
      <c r="G1382" s="4">
        <v>2</v>
      </c>
      <c r="H1382" s="4">
        <v>2</v>
      </c>
      <c r="I1382" s="4" t="s">
        <v>18</v>
      </c>
      <c r="J1382" s="4" t="s">
        <v>23</v>
      </c>
      <c r="K1382" s="4" t="s">
        <v>20</v>
      </c>
      <c r="L1382" s="9">
        <v>45675</v>
      </c>
      <c r="M1382" s="9" t="str">
        <f>TEXT(Source_data[[#This Row],[Listing_Date]],"mmm-yy")</f>
        <v>Jan-25</v>
      </c>
      <c r="N1382" s="4">
        <f t="shared" si="21"/>
        <v>8971.7467752885277</v>
      </c>
      <c r="O1382" s="3" cm="1">
        <f t="array" ref="O1382">_xlfn.IFS(AND(K1382="Broker",J1382="Resale"),F1382*0.5,AND(K1382="Owner",J1382="Resale"),F1382*0,AND(K1382="Builder",J1382="Resale"),F1382*0.3,AND(J1382="New",K1382="Broker"),F1382*0.1,AND(J1382="New",K1382="Owner"),F1382*0,AND(J1382="New",K1382="Builder"),F1382*0.5)</f>
        <v>6607691.5</v>
      </c>
    </row>
    <row r="1383" spans="1:15" x14ac:dyDescent="0.3">
      <c r="A1383" s="8" t="s">
        <v>1472</v>
      </c>
      <c r="B1383" s="4" t="s">
        <v>1447</v>
      </c>
      <c r="C1383" s="4" t="s">
        <v>1461</v>
      </c>
      <c r="D1383" s="4">
        <v>3</v>
      </c>
      <c r="E1383" s="4">
        <v>1980</v>
      </c>
      <c r="F1383" s="4">
        <v>19099044</v>
      </c>
      <c r="G1383" s="4">
        <v>4</v>
      </c>
      <c r="H1383" s="4">
        <v>1</v>
      </c>
      <c r="I1383" s="4" t="s">
        <v>8</v>
      </c>
      <c r="J1383" s="4" t="s">
        <v>19</v>
      </c>
      <c r="K1383" s="4" t="s">
        <v>24</v>
      </c>
      <c r="L1383" s="9">
        <v>45505</v>
      </c>
      <c r="M1383" s="9" t="str">
        <f>TEXT(Source_data[[#This Row],[Listing_Date]],"mmm-yy")</f>
        <v>Aug-24</v>
      </c>
      <c r="N1383" s="4">
        <f t="shared" si="21"/>
        <v>9645.9818181818173</v>
      </c>
      <c r="O1383" s="3" cm="1">
        <f t="array" ref="O1383">_xlfn.IFS(AND(K1383="Broker",J1383="Resale"),F1383*0.5,AND(K1383="Owner",J1383="Resale"),F1383*0,AND(K1383="Builder",J1383="Resale"),F1383*0.3,AND(J1383="New",K1383="Broker"),F1383*0.1,AND(J1383="New",K1383="Owner"),F1383*0,AND(J1383="New",K1383="Builder"),F1383*0.5)</f>
        <v>9549522</v>
      </c>
    </row>
    <row r="1384" spans="1:15" x14ac:dyDescent="0.3">
      <c r="A1384" s="8" t="s">
        <v>1473</v>
      </c>
      <c r="B1384" s="4" t="s">
        <v>1447</v>
      </c>
      <c r="C1384" s="4" t="s">
        <v>1461</v>
      </c>
      <c r="D1384" s="4">
        <v>4</v>
      </c>
      <c r="E1384" s="4">
        <v>1508</v>
      </c>
      <c r="F1384" s="4">
        <v>16381534</v>
      </c>
      <c r="G1384" s="4">
        <v>3</v>
      </c>
      <c r="H1384" s="4">
        <v>1</v>
      </c>
      <c r="I1384" s="4" t="s">
        <v>8</v>
      </c>
      <c r="J1384" s="4" t="s">
        <v>23</v>
      </c>
      <c r="K1384" s="4" t="s">
        <v>24</v>
      </c>
      <c r="L1384" s="9">
        <v>45290</v>
      </c>
      <c r="M1384" s="9" t="str">
        <f>TEXT(Source_data[[#This Row],[Listing_Date]],"mmm-yy")</f>
        <v>Dec-23</v>
      </c>
      <c r="N1384" s="4">
        <f t="shared" si="21"/>
        <v>10863.086206896553</v>
      </c>
      <c r="O1384" s="3" cm="1">
        <f t="array" ref="O1384">_xlfn.IFS(AND(K1384="Broker",J1384="Resale"),F1384*0.5,AND(K1384="Owner",J1384="Resale"),F1384*0,AND(K1384="Builder",J1384="Resale"),F1384*0.3,AND(J1384="New",K1384="Broker"),F1384*0.1,AND(J1384="New",K1384="Owner"),F1384*0,AND(J1384="New",K1384="Builder"),F1384*0.5)</f>
        <v>4914460.2</v>
      </c>
    </row>
    <row r="1385" spans="1:15" x14ac:dyDescent="0.3">
      <c r="A1385" s="8" t="s">
        <v>1474</v>
      </c>
      <c r="B1385" s="4" t="s">
        <v>1447</v>
      </c>
      <c r="C1385" s="4" t="s">
        <v>1475</v>
      </c>
      <c r="D1385" s="4">
        <v>1</v>
      </c>
      <c r="E1385" s="4">
        <v>829</v>
      </c>
      <c r="F1385" s="4">
        <v>7774453</v>
      </c>
      <c r="G1385" s="4">
        <v>1</v>
      </c>
      <c r="H1385" s="4">
        <v>1</v>
      </c>
      <c r="I1385" s="4" t="s">
        <v>18</v>
      </c>
      <c r="J1385" s="4" t="s">
        <v>23</v>
      </c>
      <c r="K1385" s="4" t="s">
        <v>24</v>
      </c>
      <c r="L1385" s="9">
        <v>45433</v>
      </c>
      <c r="M1385" s="9" t="str">
        <f>TEXT(Source_data[[#This Row],[Listing_Date]],"mmm-yy")</f>
        <v>May-24</v>
      </c>
      <c r="N1385" s="4">
        <f t="shared" si="21"/>
        <v>9378.1097708082034</v>
      </c>
      <c r="O1385" s="3" cm="1">
        <f t="array" ref="O1385">_xlfn.IFS(AND(K1385="Broker",J1385="Resale"),F1385*0.5,AND(K1385="Owner",J1385="Resale"),F1385*0,AND(K1385="Builder",J1385="Resale"),F1385*0.3,AND(J1385="New",K1385="Broker"),F1385*0.1,AND(J1385="New",K1385="Owner"),F1385*0,AND(J1385="New",K1385="Builder"),F1385*0.5)</f>
        <v>2332335.9</v>
      </c>
    </row>
    <row r="1386" spans="1:15" x14ac:dyDescent="0.3">
      <c r="A1386" s="8" t="s">
        <v>1476</v>
      </c>
      <c r="B1386" s="4" t="s">
        <v>1447</v>
      </c>
      <c r="C1386" s="4" t="s">
        <v>1463</v>
      </c>
      <c r="D1386" s="4">
        <v>2</v>
      </c>
      <c r="E1386" s="4">
        <v>640</v>
      </c>
      <c r="F1386" s="4">
        <v>5614603</v>
      </c>
      <c r="G1386" s="4">
        <v>1</v>
      </c>
      <c r="H1386" s="4">
        <v>1</v>
      </c>
      <c r="I1386" s="4" t="s">
        <v>8</v>
      </c>
      <c r="J1386" s="4" t="s">
        <v>23</v>
      </c>
      <c r="K1386" s="4" t="s">
        <v>20</v>
      </c>
      <c r="L1386" s="9">
        <v>45308</v>
      </c>
      <c r="M1386" s="9" t="str">
        <f>TEXT(Source_data[[#This Row],[Listing_Date]],"mmm-yy")</f>
        <v>Jan-24</v>
      </c>
      <c r="N1386" s="4">
        <f t="shared" si="21"/>
        <v>8772.8171875000007</v>
      </c>
      <c r="O1386" s="3" cm="1">
        <f t="array" ref="O1386">_xlfn.IFS(AND(K1386="Broker",J1386="Resale"),F1386*0.5,AND(K1386="Owner",J1386="Resale"),F1386*0,AND(K1386="Builder",J1386="Resale"),F1386*0.3,AND(J1386="New",K1386="Broker"),F1386*0.1,AND(J1386="New",K1386="Owner"),F1386*0,AND(J1386="New",K1386="Builder"),F1386*0.5)</f>
        <v>2807301.5</v>
      </c>
    </row>
    <row r="1387" spans="1:15" x14ac:dyDescent="0.3">
      <c r="A1387" s="8" t="s">
        <v>1477</v>
      </c>
      <c r="B1387" s="4" t="s">
        <v>1447</v>
      </c>
      <c r="C1387" s="4" t="s">
        <v>1451</v>
      </c>
      <c r="D1387" s="4">
        <v>1</v>
      </c>
      <c r="E1387" s="4">
        <v>591</v>
      </c>
      <c r="F1387" s="4">
        <v>5669768</v>
      </c>
      <c r="G1387" s="4">
        <v>1</v>
      </c>
      <c r="H1387" s="4">
        <v>2</v>
      </c>
      <c r="I1387" s="4" t="s">
        <v>27</v>
      </c>
      <c r="J1387" s="4" t="s">
        <v>23</v>
      </c>
      <c r="K1387" s="4" t="s">
        <v>20</v>
      </c>
      <c r="L1387" s="9">
        <v>45194</v>
      </c>
      <c r="M1387" s="9" t="str">
        <f>TEXT(Source_data[[#This Row],[Listing_Date]],"mmm-yy")</f>
        <v>Sep-23</v>
      </c>
      <c r="N1387" s="4">
        <f t="shared" si="21"/>
        <v>9593.5160744500845</v>
      </c>
      <c r="O1387" s="3" cm="1">
        <f t="array" ref="O1387">_xlfn.IFS(AND(K1387="Broker",J1387="Resale"),F1387*0.5,AND(K1387="Owner",J1387="Resale"),F1387*0,AND(K1387="Builder",J1387="Resale"),F1387*0.3,AND(J1387="New",K1387="Broker"),F1387*0.1,AND(J1387="New",K1387="Owner"),F1387*0,AND(J1387="New",K1387="Builder"),F1387*0.5)</f>
        <v>2834884</v>
      </c>
    </row>
    <row r="1388" spans="1:15" x14ac:dyDescent="0.3">
      <c r="A1388" s="8" t="s">
        <v>1478</v>
      </c>
      <c r="B1388" s="4" t="s">
        <v>1447</v>
      </c>
      <c r="C1388" s="4" t="s">
        <v>1475</v>
      </c>
      <c r="D1388" s="4">
        <v>3</v>
      </c>
      <c r="E1388" s="4">
        <v>1204</v>
      </c>
      <c r="F1388" s="4">
        <v>14366173</v>
      </c>
      <c r="G1388" s="4">
        <v>2</v>
      </c>
      <c r="H1388" s="4">
        <v>2</v>
      </c>
      <c r="I1388" s="4" t="s">
        <v>8</v>
      </c>
      <c r="J1388" s="4" t="s">
        <v>19</v>
      </c>
      <c r="K1388" s="4" t="s">
        <v>24</v>
      </c>
      <c r="L1388" s="9">
        <v>45337</v>
      </c>
      <c r="M1388" s="9" t="str">
        <f>TEXT(Source_data[[#This Row],[Listing_Date]],"mmm-yy")</f>
        <v>Feb-24</v>
      </c>
      <c r="N1388" s="4">
        <f t="shared" si="21"/>
        <v>11932.037375415282</v>
      </c>
      <c r="O1388" s="3" cm="1">
        <f t="array" ref="O1388">_xlfn.IFS(AND(K1388="Broker",J1388="Resale"),F1388*0.5,AND(K1388="Owner",J1388="Resale"),F1388*0,AND(K1388="Builder",J1388="Resale"),F1388*0.3,AND(J1388="New",K1388="Broker"),F1388*0.1,AND(J1388="New",K1388="Owner"),F1388*0,AND(J1388="New",K1388="Builder"),F1388*0.5)</f>
        <v>7183086.5</v>
      </c>
    </row>
    <row r="1389" spans="1:15" x14ac:dyDescent="0.3">
      <c r="A1389" s="8" t="s">
        <v>1479</v>
      </c>
      <c r="B1389" s="4" t="s">
        <v>1447</v>
      </c>
      <c r="C1389" s="4" t="s">
        <v>1448</v>
      </c>
      <c r="D1389" s="4">
        <v>3</v>
      </c>
      <c r="E1389" s="4">
        <v>1377</v>
      </c>
      <c r="F1389" s="4">
        <v>14065569</v>
      </c>
      <c r="G1389" s="4">
        <v>4</v>
      </c>
      <c r="H1389" s="4">
        <v>1</v>
      </c>
      <c r="I1389" s="4" t="s">
        <v>18</v>
      </c>
      <c r="J1389" s="4" t="s">
        <v>23</v>
      </c>
      <c r="K1389" s="4" t="s">
        <v>24</v>
      </c>
      <c r="L1389" s="9">
        <v>45105</v>
      </c>
      <c r="M1389" s="9" t="str">
        <f>TEXT(Source_data[[#This Row],[Listing_Date]],"mmm-yy")</f>
        <v>Jun-23</v>
      </c>
      <c r="N1389" s="4">
        <f t="shared" si="21"/>
        <v>10214.64705882353</v>
      </c>
      <c r="O1389" s="3" cm="1">
        <f t="array" ref="O1389">_xlfn.IFS(AND(K1389="Broker",J1389="Resale"),F1389*0.5,AND(K1389="Owner",J1389="Resale"),F1389*0,AND(K1389="Builder",J1389="Resale"),F1389*0.3,AND(J1389="New",K1389="Broker"),F1389*0.1,AND(J1389="New",K1389="Owner"),F1389*0,AND(J1389="New",K1389="Builder"),F1389*0.5)</f>
        <v>4219670.7</v>
      </c>
    </row>
    <row r="1390" spans="1:15" x14ac:dyDescent="0.3">
      <c r="A1390" s="8" t="s">
        <v>1480</v>
      </c>
      <c r="B1390" s="4" t="s">
        <v>1447</v>
      </c>
      <c r="C1390" s="4" t="s">
        <v>1451</v>
      </c>
      <c r="D1390" s="4">
        <v>1</v>
      </c>
      <c r="E1390" s="4">
        <v>399</v>
      </c>
      <c r="F1390" s="4">
        <v>3420549</v>
      </c>
      <c r="G1390" s="4">
        <v>1</v>
      </c>
      <c r="H1390" s="4">
        <v>0</v>
      </c>
      <c r="I1390" s="4" t="s">
        <v>8</v>
      </c>
      <c r="J1390" s="4" t="s">
        <v>19</v>
      </c>
      <c r="K1390" s="4" t="s">
        <v>24</v>
      </c>
      <c r="L1390" s="9">
        <v>45677</v>
      </c>
      <c r="M1390" s="9" t="str">
        <f>TEXT(Source_data[[#This Row],[Listing_Date]],"mmm-yy")</f>
        <v>Jan-25</v>
      </c>
      <c r="N1390" s="4">
        <f t="shared" si="21"/>
        <v>8572.8045112781947</v>
      </c>
      <c r="O1390" s="3" cm="1">
        <f t="array" ref="O1390">_xlfn.IFS(AND(K1390="Broker",J1390="Resale"),F1390*0.5,AND(K1390="Owner",J1390="Resale"),F1390*0,AND(K1390="Builder",J1390="Resale"),F1390*0.3,AND(J1390="New",K1390="Broker"),F1390*0.1,AND(J1390="New",K1390="Owner"),F1390*0,AND(J1390="New",K1390="Builder"),F1390*0.5)</f>
        <v>1710274.5</v>
      </c>
    </row>
    <row r="1391" spans="1:15" x14ac:dyDescent="0.3">
      <c r="A1391" s="8" t="s">
        <v>1481</v>
      </c>
      <c r="B1391" s="4" t="s">
        <v>1447</v>
      </c>
      <c r="C1391" s="4" t="s">
        <v>1461</v>
      </c>
      <c r="D1391" s="4">
        <v>4</v>
      </c>
      <c r="E1391" s="4">
        <v>1948</v>
      </c>
      <c r="F1391" s="4">
        <v>19722060</v>
      </c>
      <c r="G1391" s="4">
        <v>2</v>
      </c>
      <c r="H1391" s="4">
        <v>1</v>
      </c>
      <c r="I1391" s="4" t="s">
        <v>8</v>
      </c>
      <c r="J1391" s="4" t="s">
        <v>19</v>
      </c>
      <c r="K1391" s="4" t="s">
        <v>24</v>
      </c>
      <c r="L1391" s="9">
        <v>45766</v>
      </c>
      <c r="M1391" s="9" t="str">
        <f>TEXT(Source_data[[#This Row],[Listing_Date]],"mmm-yy")</f>
        <v>Apr-25</v>
      </c>
      <c r="N1391" s="4">
        <f t="shared" si="21"/>
        <v>10124.260780287474</v>
      </c>
      <c r="O1391" s="3" cm="1">
        <f t="array" ref="O1391">_xlfn.IFS(AND(K1391="Broker",J1391="Resale"),F1391*0.5,AND(K1391="Owner",J1391="Resale"),F1391*0,AND(K1391="Builder",J1391="Resale"),F1391*0.3,AND(J1391="New",K1391="Broker"),F1391*0.1,AND(J1391="New",K1391="Owner"),F1391*0,AND(J1391="New",K1391="Builder"),F1391*0.5)</f>
        <v>9861030</v>
      </c>
    </row>
    <row r="1392" spans="1:15" x14ac:dyDescent="0.3">
      <c r="A1392" s="8" t="s">
        <v>1482</v>
      </c>
      <c r="B1392" s="4" t="s">
        <v>1447</v>
      </c>
      <c r="C1392" s="4" t="s">
        <v>1451</v>
      </c>
      <c r="D1392" s="4">
        <v>2</v>
      </c>
      <c r="E1392" s="4">
        <v>743</v>
      </c>
      <c r="F1392" s="4">
        <v>8108138</v>
      </c>
      <c r="G1392" s="4">
        <v>2</v>
      </c>
      <c r="H1392" s="4">
        <v>2</v>
      </c>
      <c r="I1392" s="4" t="s">
        <v>18</v>
      </c>
      <c r="J1392" s="4" t="s">
        <v>19</v>
      </c>
      <c r="K1392" s="4" t="s">
        <v>24</v>
      </c>
      <c r="L1392" s="9">
        <v>45537</v>
      </c>
      <c r="M1392" s="9" t="str">
        <f>TEXT(Source_data[[#This Row],[Listing_Date]],"mmm-yy")</f>
        <v>Sep-24</v>
      </c>
      <c r="N1392" s="4">
        <f t="shared" si="21"/>
        <v>10912.702557200539</v>
      </c>
      <c r="O1392" s="3" cm="1">
        <f t="array" ref="O1392">_xlfn.IFS(AND(K1392="Broker",J1392="Resale"),F1392*0.5,AND(K1392="Owner",J1392="Resale"),F1392*0,AND(K1392="Builder",J1392="Resale"),F1392*0.3,AND(J1392="New",K1392="Broker"),F1392*0.1,AND(J1392="New",K1392="Owner"),F1392*0,AND(J1392="New",K1392="Builder"),F1392*0.5)</f>
        <v>4054069</v>
      </c>
    </row>
    <row r="1393" spans="1:15" x14ac:dyDescent="0.3">
      <c r="A1393" s="8" t="s">
        <v>1483</v>
      </c>
      <c r="B1393" s="4" t="s">
        <v>1447</v>
      </c>
      <c r="C1393" s="4" t="s">
        <v>1451</v>
      </c>
      <c r="D1393" s="4">
        <v>2</v>
      </c>
      <c r="E1393" s="4">
        <v>950</v>
      </c>
      <c r="F1393" s="4">
        <v>8014336</v>
      </c>
      <c r="G1393" s="4">
        <v>1</v>
      </c>
      <c r="H1393" s="4">
        <v>3</v>
      </c>
      <c r="I1393" s="4" t="s">
        <v>18</v>
      </c>
      <c r="J1393" s="4" t="s">
        <v>23</v>
      </c>
      <c r="K1393" s="4" t="s">
        <v>36</v>
      </c>
      <c r="L1393" s="9">
        <v>45527</v>
      </c>
      <c r="M1393" s="9" t="str">
        <f>TEXT(Source_data[[#This Row],[Listing_Date]],"mmm-yy")</f>
        <v>Aug-24</v>
      </c>
      <c r="N1393" s="4">
        <f t="shared" si="21"/>
        <v>8436.1431578947377</v>
      </c>
      <c r="O1393" s="3" cm="1">
        <f t="array" ref="O1393">_xlfn.IFS(AND(K1393="Broker",J1393="Resale"),F1393*0.5,AND(K1393="Owner",J1393="Resale"),F1393*0,AND(K1393="Builder",J1393="Resale"),F1393*0.3,AND(J1393="New",K1393="Broker"),F1393*0.1,AND(J1393="New",K1393="Owner"),F1393*0,AND(J1393="New",K1393="Builder"),F1393*0.5)</f>
        <v>0</v>
      </c>
    </row>
    <row r="1394" spans="1:15" x14ac:dyDescent="0.3">
      <c r="A1394" s="8" t="s">
        <v>1484</v>
      </c>
      <c r="B1394" s="4" t="s">
        <v>1447</v>
      </c>
      <c r="C1394" s="4" t="s">
        <v>1451</v>
      </c>
      <c r="D1394" s="4">
        <v>3</v>
      </c>
      <c r="E1394" s="4">
        <v>1278</v>
      </c>
      <c r="F1394" s="4">
        <v>13113621</v>
      </c>
      <c r="G1394" s="4">
        <v>2</v>
      </c>
      <c r="H1394" s="4">
        <v>2</v>
      </c>
      <c r="I1394" s="4" t="s">
        <v>18</v>
      </c>
      <c r="J1394" s="4" t="s">
        <v>23</v>
      </c>
      <c r="K1394" s="4" t="s">
        <v>36</v>
      </c>
      <c r="L1394" s="9">
        <v>45258</v>
      </c>
      <c r="M1394" s="9" t="str">
        <f>TEXT(Source_data[[#This Row],[Listing_Date]],"mmm-yy")</f>
        <v>Nov-23</v>
      </c>
      <c r="N1394" s="4">
        <f t="shared" si="21"/>
        <v>10261.049295774648</v>
      </c>
      <c r="O1394" s="3" cm="1">
        <f t="array" ref="O1394">_xlfn.IFS(AND(K1394="Broker",J1394="Resale"),F1394*0.5,AND(K1394="Owner",J1394="Resale"),F1394*0,AND(K1394="Builder",J1394="Resale"),F1394*0.3,AND(J1394="New",K1394="Broker"),F1394*0.1,AND(J1394="New",K1394="Owner"),F1394*0,AND(J1394="New",K1394="Builder"),F1394*0.5)</f>
        <v>0</v>
      </c>
    </row>
    <row r="1395" spans="1:15" x14ac:dyDescent="0.3">
      <c r="A1395" s="8" t="s">
        <v>1485</v>
      </c>
      <c r="B1395" s="4" t="s">
        <v>1447</v>
      </c>
      <c r="C1395" s="4" t="s">
        <v>1461</v>
      </c>
      <c r="D1395" s="4">
        <v>2</v>
      </c>
      <c r="E1395" s="4">
        <v>827</v>
      </c>
      <c r="F1395" s="4">
        <v>6450379</v>
      </c>
      <c r="G1395" s="4">
        <v>3</v>
      </c>
      <c r="H1395" s="4">
        <v>1</v>
      </c>
      <c r="I1395" s="4" t="s">
        <v>8</v>
      </c>
      <c r="J1395" s="4" t="s">
        <v>23</v>
      </c>
      <c r="K1395" s="4" t="s">
        <v>36</v>
      </c>
      <c r="L1395" s="9">
        <v>45089</v>
      </c>
      <c r="M1395" s="9" t="str">
        <f>TEXT(Source_data[[#This Row],[Listing_Date]],"mmm-yy")</f>
        <v>Jun-23</v>
      </c>
      <c r="N1395" s="4">
        <f t="shared" si="21"/>
        <v>7799.7327690447401</v>
      </c>
      <c r="O1395" s="3" cm="1">
        <f t="array" ref="O1395">_xlfn.IFS(AND(K1395="Broker",J1395="Resale"),F1395*0.5,AND(K1395="Owner",J1395="Resale"),F1395*0,AND(K1395="Builder",J1395="Resale"),F1395*0.3,AND(J1395="New",K1395="Broker"),F1395*0.1,AND(J1395="New",K1395="Owner"),F1395*0,AND(J1395="New",K1395="Builder"),F1395*0.5)</f>
        <v>0</v>
      </c>
    </row>
    <row r="1396" spans="1:15" x14ac:dyDescent="0.3">
      <c r="A1396" s="8" t="s">
        <v>1486</v>
      </c>
      <c r="B1396" s="4" t="s">
        <v>1447</v>
      </c>
      <c r="C1396" s="4" t="s">
        <v>1453</v>
      </c>
      <c r="D1396" s="4">
        <v>4</v>
      </c>
      <c r="E1396" s="4">
        <v>1891</v>
      </c>
      <c r="F1396" s="4">
        <v>20573530</v>
      </c>
      <c r="G1396" s="4">
        <v>3</v>
      </c>
      <c r="H1396" s="4">
        <v>2</v>
      </c>
      <c r="I1396" s="4" t="s">
        <v>8</v>
      </c>
      <c r="J1396" s="4" t="s">
        <v>19</v>
      </c>
      <c r="K1396" s="4" t="s">
        <v>36</v>
      </c>
      <c r="L1396" s="9">
        <v>45215</v>
      </c>
      <c r="M1396" s="9" t="str">
        <f>TEXT(Source_data[[#This Row],[Listing_Date]],"mmm-yy")</f>
        <v>Oct-23</v>
      </c>
      <c r="N1396" s="4">
        <f t="shared" si="21"/>
        <v>10879.709148598626</v>
      </c>
      <c r="O1396" s="3" cm="1">
        <f t="array" ref="O1396">_xlfn.IFS(AND(K1396="Broker",J1396="Resale"),F1396*0.5,AND(K1396="Owner",J1396="Resale"),F1396*0,AND(K1396="Builder",J1396="Resale"),F1396*0.3,AND(J1396="New",K1396="Broker"),F1396*0.1,AND(J1396="New",K1396="Owner"),F1396*0,AND(J1396="New",K1396="Builder"),F1396*0.5)</f>
        <v>0</v>
      </c>
    </row>
    <row r="1397" spans="1:15" x14ac:dyDescent="0.3">
      <c r="A1397" s="8" t="s">
        <v>1487</v>
      </c>
      <c r="B1397" s="4" t="s">
        <v>1447</v>
      </c>
      <c r="C1397" s="4" t="s">
        <v>1448</v>
      </c>
      <c r="D1397" s="4">
        <v>3</v>
      </c>
      <c r="E1397" s="4">
        <v>1173</v>
      </c>
      <c r="F1397" s="4">
        <v>9441653</v>
      </c>
      <c r="G1397" s="4">
        <v>3</v>
      </c>
      <c r="H1397" s="4">
        <v>1</v>
      </c>
      <c r="I1397" s="4" t="s">
        <v>27</v>
      </c>
      <c r="J1397" s="4" t="s">
        <v>23</v>
      </c>
      <c r="K1397" s="4" t="s">
        <v>36</v>
      </c>
      <c r="L1397" s="9">
        <v>45514</v>
      </c>
      <c r="M1397" s="9" t="str">
        <f>TEXT(Source_data[[#This Row],[Listing_Date]],"mmm-yy")</f>
        <v>Aug-24</v>
      </c>
      <c r="N1397" s="4">
        <f t="shared" si="21"/>
        <v>8049.1500426257462</v>
      </c>
      <c r="O1397" s="3" cm="1">
        <f t="array" ref="O1397">_xlfn.IFS(AND(K1397="Broker",J1397="Resale"),F1397*0.5,AND(K1397="Owner",J1397="Resale"),F1397*0,AND(K1397="Builder",J1397="Resale"),F1397*0.3,AND(J1397="New",K1397="Broker"),F1397*0.1,AND(J1397="New",K1397="Owner"),F1397*0,AND(J1397="New",K1397="Builder"),F1397*0.5)</f>
        <v>0</v>
      </c>
    </row>
    <row r="1398" spans="1:15" x14ac:dyDescent="0.3">
      <c r="A1398" s="8" t="s">
        <v>1488</v>
      </c>
      <c r="B1398" s="4" t="s">
        <v>1447</v>
      </c>
      <c r="C1398" s="4" t="s">
        <v>1461</v>
      </c>
      <c r="D1398" s="4">
        <v>3</v>
      </c>
      <c r="E1398" s="4">
        <v>845</v>
      </c>
      <c r="F1398" s="4">
        <v>8805397</v>
      </c>
      <c r="G1398" s="4">
        <v>3</v>
      </c>
      <c r="H1398" s="4">
        <v>0</v>
      </c>
      <c r="I1398" s="4" t="s">
        <v>18</v>
      </c>
      <c r="J1398" s="4" t="s">
        <v>19</v>
      </c>
      <c r="K1398" s="4" t="s">
        <v>24</v>
      </c>
      <c r="L1398" s="9">
        <v>45194</v>
      </c>
      <c r="M1398" s="9" t="str">
        <f>TEXT(Source_data[[#This Row],[Listing_Date]],"mmm-yy")</f>
        <v>Sep-23</v>
      </c>
      <c r="N1398" s="4">
        <f t="shared" si="21"/>
        <v>10420.588165680474</v>
      </c>
      <c r="O1398" s="3" cm="1">
        <f t="array" ref="O1398">_xlfn.IFS(AND(K1398="Broker",J1398="Resale"),F1398*0.5,AND(K1398="Owner",J1398="Resale"),F1398*0,AND(K1398="Builder",J1398="Resale"),F1398*0.3,AND(J1398="New",K1398="Broker"),F1398*0.1,AND(J1398="New",K1398="Owner"),F1398*0,AND(J1398="New",K1398="Builder"),F1398*0.5)</f>
        <v>4402698.5</v>
      </c>
    </row>
    <row r="1399" spans="1:15" x14ac:dyDescent="0.3">
      <c r="A1399" s="8" t="s">
        <v>1489</v>
      </c>
      <c r="B1399" s="4" t="s">
        <v>1447</v>
      </c>
      <c r="C1399" s="4" t="s">
        <v>1451</v>
      </c>
      <c r="D1399" s="4">
        <v>4</v>
      </c>
      <c r="E1399" s="4">
        <v>1614</v>
      </c>
      <c r="F1399" s="4">
        <v>16050510</v>
      </c>
      <c r="G1399" s="4">
        <v>3</v>
      </c>
      <c r="H1399" s="4">
        <v>2</v>
      </c>
      <c r="I1399" s="4" t="s">
        <v>18</v>
      </c>
      <c r="J1399" s="4" t="s">
        <v>23</v>
      </c>
      <c r="K1399" s="4" t="s">
        <v>20</v>
      </c>
      <c r="L1399" s="9">
        <v>44988</v>
      </c>
      <c r="M1399" s="9" t="str">
        <f>TEXT(Source_data[[#This Row],[Listing_Date]],"mmm-yy")</f>
        <v>Mar-23</v>
      </c>
      <c r="N1399" s="4">
        <f t="shared" si="21"/>
        <v>9944.5539033457244</v>
      </c>
      <c r="O1399" s="3" cm="1">
        <f t="array" ref="O1399">_xlfn.IFS(AND(K1399="Broker",J1399="Resale"),F1399*0.5,AND(K1399="Owner",J1399="Resale"),F1399*0,AND(K1399="Builder",J1399="Resale"),F1399*0.3,AND(J1399="New",K1399="Broker"),F1399*0.1,AND(J1399="New",K1399="Owner"),F1399*0,AND(J1399="New",K1399="Builder"),F1399*0.5)</f>
        <v>8025255</v>
      </c>
    </row>
    <row r="1400" spans="1:15" x14ac:dyDescent="0.3">
      <c r="A1400" s="8" t="s">
        <v>1490</v>
      </c>
      <c r="B1400" s="4" t="s">
        <v>1447</v>
      </c>
      <c r="C1400" s="4" t="s">
        <v>1463</v>
      </c>
      <c r="D1400" s="4">
        <v>3</v>
      </c>
      <c r="E1400" s="4">
        <v>1750</v>
      </c>
      <c r="F1400" s="4">
        <v>19798060</v>
      </c>
      <c r="G1400" s="4">
        <v>3</v>
      </c>
      <c r="H1400" s="4">
        <v>3</v>
      </c>
      <c r="I1400" s="4" t="s">
        <v>27</v>
      </c>
      <c r="J1400" s="4" t="s">
        <v>19</v>
      </c>
      <c r="K1400" s="4" t="s">
        <v>20</v>
      </c>
      <c r="L1400" s="9">
        <v>45084</v>
      </c>
      <c r="M1400" s="9" t="str">
        <f>TEXT(Source_data[[#This Row],[Listing_Date]],"mmm-yy")</f>
        <v>Jun-23</v>
      </c>
      <c r="N1400" s="4">
        <f t="shared" si="21"/>
        <v>11313.177142857143</v>
      </c>
      <c r="O1400" s="3" cm="1">
        <f t="array" ref="O1400">_xlfn.IFS(AND(K1400="Broker",J1400="Resale"),F1400*0.5,AND(K1400="Owner",J1400="Resale"),F1400*0,AND(K1400="Builder",J1400="Resale"),F1400*0.3,AND(J1400="New",K1400="Broker"),F1400*0.1,AND(J1400="New",K1400="Owner"),F1400*0,AND(J1400="New",K1400="Builder"),F1400*0.5)</f>
        <v>1979806</v>
      </c>
    </row>
    <row r="1401" spans="1:15" x14ac:dyDescent="0.3">
      <c r="A1401" s="8" t="s">
        <v>1491</v>
      </c>
      <c r="B1401" s="4" t="s">
        <v>1447</v>
      </c>
      <c r="C1401" s="4" t="s">
        <v>1448</v>
      </c>
      <c r="D1401" s="4">
        <v>3</v>
      </c>
      <c r="E1401" s="4">
        <v>1636</v>
      </c>
      <c r="F1401" s="4">
        <v>14183715</v>
      </c>
      <c r="G1401" s="4">
        <v>2</v>
      </c>
      <c r="H1401" s="4">
        <v>4</v>
      </c>
      <c r="I1401" s="4" t="s">
        <v>8</v>
      </c>
      <c r="J1401" s="4" t="s">
        <v>23</v>
      </c>
      <c r="K1401" s="4" t="s">
        <v>36</v>
      </c>
      <c r="L1401" s="9">
        <v>45030</v>
      </c>
      <c r="M1401" s="9" t="str">
        <f>TEXT(Source_data[[#This Row],[Listing_Date]],"mmm-yy")</f>
        <v>Apr-23</v>
      </c>
      <c r="N1401" s="4">
        <f t="shared" si="21"/>
        <v>8669.7524449877747</v>
      </c>
      <c r="O1401" s="3" cm="1">
        <f t="array" ref="O1401">_xlfn.IFS(AND(K1401="Broker",J1401="Resale"),F1401*0.5,AND(K1401="Owner",J1401="Resale"),F1401*0,AND(K1401="Builder",J1401="Resale"),F1401*0.3,AND(J1401="New",K1401="Broker"),F1401*0.1,AND(J1401="New",K1401="Owner"),F1401*0,AND(J1401="New",K1401="Builder"),F1401*0.5)</f>
        <v>0</v>
      </c>
    </row>
    <row r="1402" spans="1:15" x14ac:dyDescent="0.3">
      <c r="A1402" s="8" t="s">
        <v>1492</v>
      </c>
      <c r="B1402" s="4" t="s">
        <v>1447</v>
      </c>
      <c r="C1402" s="4" t="s">
        <v>1461</v>
      </c>
      <c r="D1402" s="4">
        <v>2</v>
      </c>
      <c r="E1402" s="4">
        <v>627</v>
      </c>
      <c r="F1402" s="4">
        <v>4447036</v>
      </c>
      <c r="G1402" s="4">
        <v>2</v>
      </c>
      <c r="H1402" s="4">
        <v>1</v>
      </c>
      <c r="I1402" s="4" t="s">
        <v>27</v>
      </c>
      <c r="J1402" s="4" t="s">
        <v>19</v>
      </c>
      <c r="K1402" s="4" t="s">
        <v>36</v>
      </c>
      <c r="L1402" s="9">
        <v>45534</v>
      </c>
      <c r="M1402" s="9" t="str">
        <f>TEXT(Source_data[[#This Row],[Listing_Date]],"mmm-yy")</f>
        <v>Aug-24</v>
      </c>
      <c r="N1402" s="4">
        <f t="shared" si="21"/>
        <v>7092.5614035087719</v>
      </c>
      <c r="O1402" s="3" cm="1">
        <f t="array" ref="O1402">_xlfn.IFS(AND(K1402="Broker",J1402="Resale"),F1402*0.5,AND(K1402="Owner",J1402="Resale"),F1402*0,AND(K1402="Builder",J1402="Resale"),F1402*0.3,AND(J1402="New",K1402="Broker"),F1402*0.1,AND(J1402="New",K1402="Owner"),F1402*0,AND(J1402="New",K1402="Builder"),F1402*0.5)</f>
        <v>0</v>
      </c>
    </row>
    <row r="1403" spans="1:15" x14ac:dyDescent="0.3">
      <c r="A1403" s="8" t="s">
        <v>1493</v>
      </c>
      <c r="B1403" s="4" t="s">
        <v>1447</v>
      </c>
      <c r="C1403" s="4" t="s">
        <v>1461</v>
      </c>
      <c r="D1403" s="4">
        <v>3</v>
      </c>
      <c r="E1403" s="4">
        <v>895</v>
      </c>
      <c r="F1403" s="4">
        <v>7698584</v>
      </c>
      <c r="G1403" s="4">
        <v>3</v>
      </c>
      <c r="H1403" s="4">
        <v>1</v>
      </c>
      <c r="I1403" s="4" t="s">
        <v>8</v>
      </c>
      <c r="J1403" s="4" t="s">
        <v>19</v>
      </c>
      <c r="K1403" s="4" t="s">
        <v>20</v>
      </c>
      <c r="L1403" s="9">
        <v>45892</v>
      </c>
      <c r="M1403" s="9" t="str">
        <f>TEXT(Source_data[[#This Row],[Listing_Date]],"mmm-yy")</f>
        <v>Aug-25</v>
      </c>
      <c r="N1403" s="4">
        <f t="shared" si="21"/>
        <v>8601.7698324022349</v>
      </c>
      <c r="O1403" s="3" cm="1">
        <f t="array" ref="O1403">_xlfn.IFS(AND(K1403="Broker",J1403="Resale"),F1403*0.5,AND(K1403="Owner",J1403="Resale"),F1403*0,AND(K1403="Builder",J1403="Resale"),F1403*0.3,AND(J1403="New",K1403="Broker"),F1403*0.1,AND(J1403="New",K1403="Owner"),F1403*0,AND(J1403="New",K1403="Builder"),F1403*0.5)</f>
        <v>769858.4</v>
      </c>
    </row>
    <row r="1404" spans="1:15" x14ac:dyDescent="0.3">
      <c r="A1404" s="8" t="s">
        <v>1494</v>
      </c>
      <c r="B1404" s="4" t="s">
        <v>1447</v>
      </c>
      <c r="C1404" s="4" t="s">
        <v>1463</v>
      </c>
      <c r="D1404" s="4">
        <v>5</v>
      </c>
      <c r="E1404" s="4">
        <v>1787</v>
      </c>
      <c r="F1404" s="4">
        <v>20004367</v>
      </c>
      <c r="G1404" s="4">
        <v>3</v>
      </c>
      <c r="H1404" s="4">
        <v>1</v>
      </c>
      <c r="I1404" s="4" t="s">
        <v>8</v>
      </c>
      <c r="J1404" s="4" t="s">
        <v>23</v>
      </c>
      <c r="K1404" s="4" t="s">
        <v>36</v>
      </c>
      <c r="L1404" s="9">
        <v>45079</v>
      </c>
      <c r="M1404" s="9" t="str">
        <f>TEXT(Source_data[[#This Row],[Listing_Date]],"mmm-yy")</f>
        <v>Jun-23</v>
      </c>
      <c r="N1404" s="4">
        <f t="shared" si="21"/>
        <v>11194.385562395075</v>
      </c>
      <c r="O1404" s="3" cm="1">
        <f t="array" ref="O1404">_xlfn.IFS(AND(K1404="Broker",J1404="Resale"),F1404*0.5,AND(K1404="Owner",J1404="Resale"),F1404*0,AND(K1404="Builder",J1404="Resale"),F1404*0.3,AND(J1404="New",K1404="Broker"),F1404*0.1,AND(J1404="New",K1404="Owner"),F1404*0,AND(J1404="New",K1404="Builder"),F1404*0.5)</f>
        <v>0</v>
      </c>
    </row>
    <row r="1405" spans="1:15" x14ac:dyDescent="0.3">
      <c r="A1405" s="8" t="s">
        <v>1495</v>
      </c>
      <c r="B1405" s="4" t="s">
        <v>1447</v>
      </c>
      <c r="C1405" s="4" t="s">
        <v>1461</v>
      </c>
      <c r="D1405" s="4">
        <v>4</v>
      </c>
      <c r="E1405" s="4">
        <v>2076</v>
      </c>
      <c r="F1405" s="4">
        <v>16025446</v>
      </c>
      <c r="G1405" s="4">
        <v>4</v>
      </c>
      <c r="H1405" s="4">
        <v>1</v>
      </c>
      <c r="I1405" s="4" t="s">
        <v>8</v>
      </c>
      <c r="J1405" s="4" t="s">
        <v>19</v>
      </c>
      <c r="K1405" s="4" t="s">
        <v>24</v>
      </c>
      <c r="L1405" s="9">
        <v>45372</v>
      </c>
      <c r="M1405" s="9" t="str">
        <f>TEXT(Source_data[[#This Row],[Listing_Date]],"mmm-yy")</f>
        <v>Mar-24</v>
      </c>
      <c r="N1405" s="4">
        <f t="shared" si="21"/>
        <v>7719.3863198458575</v>
      </c>
      <c r="O1405" s="3" cm="1">
        <f t="array" ref="O1405">_xlfn.IFS(AND(K1405="Broker",J1405="Resale"),F1405*0.5,AND(K1405="Owner",J1405="Resale"),F1405*0,AND(K1405="Builder",J1405="Resale"),F1405*0.3,AND(J1405="New",K1405="Broker"),F1405*0.1,AND(J1405="New",K1405="Owner"),F1405*0,AND(J1405="New",K1405="Builder"),F1405*0.5)</f>
        <v>8012723</v>
      </c>
    </row>
    <row r="1406" spans="1:15" x14ac:dyDescent="0.3">
      <c r="A1406" s="8" t="s">
        <v>1496</v>
      </c>
      <c r="B1406" s="4" t="s">
        <v>1447</v>
      </c>
      <c r="C1406" s="4" t="s">
        <v>1451</v>
      </c>
      <c r="D1406" s="4">
        <v>3</v>
      </c>
      <c r="E1406" s="4">
        <v>1210</v>
      </c>
      <c r="F1406" s="4">
        <v>9471737</v>
      </c>
      <c r="G1406" s="4">
        <v>2</v>
      </c>
      <c r="H1406" s="4">
        <v>2</v>
      </c>
      <c r="I1406" s="4" t="s">
        <v>8</v>
      </c>
      <c r="J1406" s="4" t="s">
        <v>23</v>
      </c>
      <c r="K1406" s="4" t="s">
        <v>36</v>
      </c>
      <c r="L1406" s="9">
        <v>45090</v>
      </c>
      <c r="M1406" s="9" t="str">
        <f>TEXT(Source_data[[#This Row],[Listing_Date]],"mmm-yy")</f>
        <v>Jun-23</v>
      </c>
      <c r="N1406" s="4">
        <f t="shared" si="21"/>
        <v>7827.8818181818178</v>
      </c>
      <c r="O1406" s="3" cm="1">
        <f t="array" ref="O1406">_xlfn.IFS(AND(K1406="Broker",J1406="Resale"),F1406*0.5,AND(K1406="Owner",J1406="Resale"),F1406*0,AND(K1406="Builder",J1406="Resale"),F1406*0.3,AND(J1406="New",K1406="Broker"),F1406*0.1,AND(J1406="New",K1406="Owner"),F1406*0,AND(J1406="New",K1406="Builder"),F1406*0.5)</f>
        <v>0</v>
      </c>
    </row>
    <row r="1407" spans="1:15" x14ac:dyDescent="0.3">
      <c r="A1407" s="8" t="s">
        <v>1497</v>
      </c>
      <c r="B1407" s="4" t="s">
        <v>1447</v>
      </c>
      <c r="C1407" s="4" t="s">
        <v>1463</v>
      </c>
      <c r="D1407" s="4">
        <v>5</v>
      </c>
      <c r="E1407" s="4">
        <v>1921</v>
      </c>
      <c r="F1407" s="4">
        <v>10462252</v>
      </c>
      <c r="G1407" s="4">
        <v>2</v>
      </c>
      <c r="H1407" s="4">
        <v>2</v>
      </c>
      <c r="I1407" s="4" t="s">
        <v>27</v>
      </c>
      <c r="J1407" s="4" t="s">
        <v>23</v>
      </c>
      <c r="K1407" s="4" t="s">
        <v>24</v>
      </c>
      <c r="L1407" s="9">
        <v>45127</v>
      </c>
      <c r="M1407" s="9" t="str">
        <f>TEXT(Source_data[[#This Row],[Listing_Date]],"mmm-yy")</f>
        <v>Jul-23</v>
      </c>
      <c r="N1407" s="4">
        <f t="shared" si="21"/>
        <v>5446.2529932326916</v>
      </c>
      <c r="O1407" s="3" cm="1">
        <f t="array" ref="O1407">_xlfn.IFS(AND(K1407="Broker",J1407="Resale"),F1407*0.5,AND(K1407="Owner",J1407="Resale"),F1407*0,AND(K1407="Builder",J1407="Resale"),F1407*0.3,AND(J1407="New",K1407="Broker"),F1407*0.1,AND(J1407="New",K1407="Owner"),F1407*0,AND(J1407="New",K1407="Builder"),F1407*0.5)</f>
        <v>3138675.6</v>
      </c>
    </row>
    <row r="1408" spans="1:15" x14ac:dyDescent="0.3">
      <c r="A1408" s="8" t="s">
        <v>1498</v>
      </c>
      <c r="B1408" s="4" t="s">
        <v>1447</v>
      </c>
      <c r="C1408" s="4" t="s">
        <v>1475</v>
      </c>
      <c r="D1408" s="4">
        <v>1</v>
      </c>
      <c r="E1408" s="4">
        <v>710</v>
      </c>
      <c r="F1408" s="4">
        <v>6553052</v>
      </c>
      <c r="G1408" s="4">
        <v>1</v>
      </c>
      <c r="H1408" s="4">
        <v>1</v>
      </c>
      <c r="I1408" s="4" t="s">
        <v>18</v>
      </c>
      <c r="J1408" s="4" t="s">
        <v>19</v>
      </c>
      <c r="K1408" s="4" t="s">
        <v>24</v>
      </c>
      <c r="L1408" s="9">
        <v>45785</v>
      </c>
      <c r="M1408" s="9" t="str">
        <f>TEXT(Source_data[[#This Row],[Listing_Date]],"mmm-yy")</f>
        <v>May-25</v>
      </c>
      <c r="N1408" s="4">
        <f t="shared" si="21"/>
        <v>9229.6507042253525</v>
      </c>
      <c r="O1408" s="3" cm="1">
        <f t="array" ref="O1408">_xlfn.IFS(AND(K1408="Broker",J1408="Resale"),F1408*0.5,AND(K1408="Owner",J1408="Resale"),F1408*0,AND(K1408="Builder",J1408="Resale"),F1408*0.3,AND(J1408="New",K1408="Broker"),F1408*0.1,AND(J1408="New",K1408="Owner"),F1408*0,AND(J1408="New",K1408="Builder"),F1408*0.5)</f>
        <v>3276526</v>
      </c>
    </row>
    <row r="1409" spans="1:15" x14ac:dyDescent="0.3">
      <c r="A1409" s="8" t="s">
        <v>1499</v>
      </c>
      <c r="B1409" s="4" t="s">
        <v>1447</v>
      </c>
      <c r="C1409" s="4" t="s">
        <v>1451</v>
      </c>
      <c r="D1409" s="4">
        <v>3</v>
      </c>
      <c r="E1409" s="4">
        <v>1571</v>
      </c>
      <c r="F1409" s="4">
        <v>17153321</v>
      </c>
      <c r="G1409" s="4">
        <v>3</v>
      </c>
      <c r="H1409" s="4">
        <v>2</v>
      </c>
      <c r="I1409" s="4" t="s">
        <v>18</v>
      </c>
      <c r="J1409" s="4" t="s">
        <v>23</v>
      </c>
      <c r="K1409" s="4" t="s">
        <v>24</v>
      </c>
      <c r="L1409" s="9">
        <v>45696</v>
      </c>
      <c r="M1409" s="9" t="str">
        <f>TEXT(Source_data[[#This Row],[Listing_Date]],"mmm-yy")</f>
        <v>Feb-25</v>
      </c>
      <c r="N1409" s="4">
        <f t="shared" si="21"/>
        <v>10918.72756206238</v>
      </c>
      <c r="O1409" s="3" cm="1">
        <f t="array" ref="O1409">_xlfn.IFS(AND(K1409="Broker",J1409="Resale"),F1409*0.5,AND(K1409="Owner",J1409="Resale"),F1409*0,AND(K1409="Builder",J1409="Resale"),F1409*0.3,AND(J1409="New",K1409="Broker"),F1409*0.1,AND(J1409="New",K1409="Owner"),F1409*0,AND(J1409="New",K1409="Builder"),F1409*0.5)</f>
        <v>5145996.3</v>
      </c>
    </row>
    <row r="1410" spans="1:15" x14ac:dyDescent="0.3">
      <c r="A1410" s="8" t="s">
        <v>1500</v>
      </c>
      <c r="B1410" s="4" t="s">
        <v>1447</v>
      </c>
      <c r="C1410" s="4" t="s">
        <v>1448</v>
      </c>
      <c r="D1410" s="4">
        <v>4</v>
      </c>
      <c r="E1410" s="4">
        <v>1145</v>
      </c>
      <c r="F1410" s="4">
        <v>10563045</v>
      </c>
      <c r="G1410" s="4">
        <v>2</v>
      </c>
      <c r="H1410" s="4">
        <v>2</v>
      </c>
      <c r="I1410" s="4" t="s">
        <v>8</v>
      </c>
      <c r="J1410" s="4" t="s">
        <v>23</v>
      </c>
      <c r="K1410" s="4" t="s">
        <v>20</v>
      </c>
      <c r="L1410" s="9">
        <v>45699</v>
      </c>
      <c r="M1410" s="9" t="str">
        <f>TEXT(Source_data[[#This Row],[Listing_Date]],"mmm-yy")</f>
        <v>Feb-25</v>
      </c>
      <c r="N1410" s="4">
        <f t="shared" si="21"/>
        <v>9225.3668122270738</v>
      </c>
      <c r="O1410" s="3" cm="1">
        <f t="array" ref="O1410">_xlfn.IFS(AND(K1410="Broker",J1410="Resale"),F1410*0.5,AND(K1410="Owner",J1410="Resale"),F1410*0,AND(K1410="Builder",J1410="Resale"),F1410*0.3,AND(J1410="New",K1410="Broker"),F1410*0.1,AND(J1410="New",K1410="Owner"),F1410*0,AND(J1410="New",K1410="Builder"),F1410*0.5)</f>
        <v>5281522.5</v>
      </c>
    </row>
    <row r="1411" spans="1:15" x14ac:dyDescent="0.3">
      <c r="A1411" s="8" t="s">
        <v>1501</v>
      </c>
      <c r="B1411" s="4" t="s">
        <v>1447</v>
      </c>
      <c r="C1411" s="4" t="s">
        <v>1461</v>
      </c>
      <c r="D1411" s="4">
        <v>4</v>
      </c>
      <c r="E1411" s="4">
        <v>855</v>
      </c>
      <c r="F1411" s="4">
        <v>7187721</v>
      </c>
      <c r="G1411" s="4">
        <v>3</v>
      </c>
      <c r="H1411" s="4">
        <v>2</v>
      </c>
      <c r="I1411" s="4" t="s">
        <v>18</v>
      </c>
      <c r="J1411" s="4" t="s">
        <v>23</v>
      </c>
      <c r="K1411" s="4" t="s">
        <v>36</v>
      </c>
      <c r="L1411" s="9">
        <v>45891</v>
      </c>
      <c r="M1411" s="9" t="str">
        <f>TEXT(Source_data[[#This Row],[Listing_Date]],"mmm-yy")</f>
        <v>Aug-25</v>
      </c>
      <c r="N1411" s="4">
        <f t="shared" ref="N1411:N1474" si="22">F1411/E1411</f>
        <v>8406.6912280701763</v>
      </c>
      <c r="O1411" s="3" cm="1">
        <f t="array" ref="O1411">_xlfn.IFS(AND(K1411="Broker",J1411="Resale"),F1411*0.5,AND(K1411="Owner",J1411="Resale"),F1411*0,AND(K1411="Builder",J1411="Resale"),F1411*0.3,AND(J1411="New",K1411="Broker"),F1411*0.1,AND(J1411="New",K1411="Owner"),F1411*0,AND(J1411="New",K1411="Builder"),F1411*0.5)</f>
        <v>0</v>
      </c>
    </row>
    <row r="1412" spans="1:15" x14ac:dyDescent="0.3">
      <c r="A1412" s="8" t="s">
        <v>1502</v>
      </c>
      <c r="B1412" s="4" t="s">
        <v>1447</v>
      </c>
      <c r="C1412" s="4" t="s">
        <v>1453</v>
      </c>
      <c r="D1412" s="4">
        <v>3</v>
      </c>
      <c r="E1412" s="4">
        <v>909</v>
      </c>
      <c r="F1412" s="4">
        <v>8470120</v>
      </c>
      <c r="G1412" s="4">
        <v>3</v>
      </c>
      <c r="H1412" s="4">
        <v>1</v>
      </c>
      <c r="I1412" s="4" t="s">
        <v>8</v>
      </c>
      <c r="J1412" s="4" t="s">
        <v>23</v>
      </c>
      <c r="K1412" s="4" t="s">
        <v>24</v>
      </c>
      <c r="L1412" s="9">
        <v>45338</v>
      </c>
      <c r="M1412" s="9" t="str">
        <f>TEXT(Source_data[[#This Row],[Listing_Date]],"mmm-yy")</f>
        <v>Feb-24</v>
      </c>
      <c r="N1412" s="4">
        <f t="shared" si="22"/>
        <v>9318.0638063806382</v>
      </c>
      <c r="O1412" s="3" cm="1">
        <f t="array" ref="O1412">_xlfn.IFS(AND(K1412="Broker",J1412="Resale"),F1412*0.5,AND(K1412="Owner",J1412="Resale"),F1412*0,AND(K1412="Builder",J1412="Resale"),F1412*0.3,AND(J1412="New",K1412="Broker"),F1412*0.1,AND(J1412="New",K1412="Owner"),F1412*0,AND(J1412="New",K1412="Builder"),F1412*0.5)</f>
        <v>2541036</v>
      </c>
    </row>
    <row r="1413" spans="1:15" x14ac:dyDescent="0.3">
      <c r="A1413" s="8" t="s">
        <v>1503</v>
      </c>
      <c r="B1413" s="4" t="s">
        <v>1447</v>
      </c>
      <c r="C1413" s="4" t="s">
        <v>1461</v>
      </c>
      <c r="D1413" s="4">
        <v>1</v>
      </c>
      <c r="E1413" s="4">
        <v>602</v>
      </c>
      <c r="F1413" s="4">
        <v>4537384</v>
      </c>
      <c r="G1413" s="4">
        <v>1</v>
      </c>
      <c r="H1413" s="4">
        <v>4</v>
      </c>
      <c r="I1413" s="4" t="s">
        <v>18</v>
      </c>
      <c r="J1413" s="4" t="s">
        <v>19</v>
      </c>
      <c r="K1413" s="4" t="s">
        <v>36</v>
      </c>
      <c r="L1413" s="9">
        <v>45386</v>
      </c>
      <c r="M1413" s="9" t="str">
        <f>TEXT(Source_data[[#This Row],[Listing_Date]],"mmm-yy")</f>
        <v>Apr-24</v>
      </c>
      <c r="N1413" s="4">
        <f t="shared" si="22"/>
        <v>7537.1827242524914</v>
      </c>
      <c r="O1413" s="3" cm="1">
        <f t="array" ref="O1413">_xlfn.IFS(AND(K1413="Broker",J1413="Resale"),F1413*0.5,AND(K1413="Owner",J1413="Resale"),F1413*0,AND(K1413="Builder",J1413="Resale"),F1413*0.3,AND(J1413="New",K1413="Broker"),F1413*0.1,AND(J1413="New",K1413="Owner"),F1413*0,AND(J1413="New",K1413="Builder"),F1413*0.5)</f>
        <v>0</v>
      </c>
    </row>
    <row r="1414" spans="1:15" x14ac:dyDescent="0.3">
      <c r="A1414" s="8" t="s">
        <v>1504</v>
      </c>
      <c r="B1414" s="4" t="s">
        <v>1447</v>
      </c>
      <c r="C1414" s="4" t="s">
        <v>1451</v>
      </c>
      <c r="D1414" s="4">
        <v>2</v>
      </c>
      <c r="E1414" s="4">
        <v>350</v>
      </c>
      <c r="F1414" s="4">
        <v>3764310</v>
      </c>
      <c r="G1414" s="4">
        <v>1</v>
      </c>
      <c r="H1414" s="4">
        <v>3</v>
      </c>
      <c r="I1414" s="4" t="s">
        <v>8</v>
      </c>
      <c r="J1414" s="4" t="s">
        <v>23</v>
      </c>
      <c r="K1414" s="4" t="s">
        <v>24</v>
      </c>
      <c r="L1414" s="9">
        <v>45732</v>
      </c>
      <c r="M1414" s="9" t="str">
        <f>TEXT(Source_data[[#This Row],[Listing_Date]],"mmm-yy")</f>
        <v>Mar-25</v>
      </c>
      <c r="N1414" s="4">
        <f t="shared" si="22"/>
        <v>10755.171428571428</v>
      </c>
      <c r="O1414" s="3" cm="1">
        <f t="array" ref="O1414">_xlfn.IFS(AND(K1414="Broker",J1414="Resale"),F1414*0.5,AND(K1414="Owner",J1414="Resale"),F1414*0,AND(K1414="Builder",J1414="Resale"),F1414*0.3,AND(J1414="New",K1414="Broker"),F1414*0.1,AND(J1414="New",K1414="Owner"),F1414*0,AND(J1414="New",K1414="Builder"),F1414*0.5)</f>
        <v>1129293</v>
      </c>
    </row>
    <row r="1415" spans="1:15" x14ac:dyDescent="0.3">
      <c r="A1415" s="8" t="s">
        <v>1505</v>
      </c>
      <c r="B1415" s="4" t="s">
        <v>1447</v>
      </c>
      <c r="C1415" s="4" t="s">
        <v>1451</v>
      </c>
      <c r="D1415" s="4">
        <v>3</v>
      </c>
      <c r="E1415" s="4">
        <v>920</v>
      </c>
      <c r="F1415" s="4">
        <v>5715390</v>
      </c>
      <c r="G1415" s="4">
        <v>3</v>
      </c>
      <c r="H1415" s="4">
        <v>2</v>
      </c>
      <c r="I1415" s="4" t="s">
        <v>18</v>
      </c>
      <c r="J1415" s="4" t="s">
        <v>23</v>
      </c>
      <c r="K1415" s="4" t="s">
        <v>36</v>
      </c>
      <c r="L1415" s="9">
        <v>45671</v>
      </c>
      <c r="M1415" s="9" t="str">
        <f>TEXT(Source_data[[#This Row],[Listing_Date]],"mmm-yy")</f>
        <v>Jan-25</v>
      </c>
      <c r="N1415" s="4">
        <f t="shared" si="22"/>
        <v>6212.380434782609</v>
      </c>
      <c r="O1415" s="3" cm="1">
        <f t="array" ref="O1415">_xlfn.IFS(AND(K1415="Broker",J1415="Resale"),F1415*0.5,AND(K1415="Owner",J1415="Resale"),F1415*0,AND(K1415="Builder",J1415="Resale"),F1415*0.3,AND(J1415="New",K1415="Broker"),F1415*0.1,AND(J1415="New",K1415="Owner"),F1415*0,AND(J1415="New",K1415="Builder"),F1415*0.5)</f>
        <v>0</v>
      </c>
    </row>
    <row r="1416" spans="1:15" x14ac:dyDescent="0.3">
      <c r="A1416" s="8" t="s">
        <v>1506</v>
      </c>
      <c r="B1416" s="4" t="s">
        <v>1447</v>
      </c>
      <c r="C1416" s="4" t="s">
        <v>1453</v>
      </c>
      <c r="D1416" s="4">
        <v>2</v>
      </c>
      <c r="E1416" s="4">
        <v>980</v>
      </c>
      <c r="F1416" s="4">
        <v>7035434</v>
      </c>
      <c r="G1416" s="4">
        <v>2</v>
      </c>
      <c r="H1416" s="4">
        <v>2</v>
      </c>
      <c r="I1416" s="4" t="s">
        <v>8</v>
      </c>
      <c r="J1416" s="4" t="s">
        <v>19</v>
      </c>
      <c r="K1416" s="4" t="s">
        <v>24</v>
      </c>
      <c r="L1416" s="9">
        <v>45463</v>
      </c>
      <c r="M1416" s="9" t="str">
        <f>TEXT(Source_data[[#This Row],[Listing_Date]],"mmm-yy")</f>
        <v>Jun-24</v>
      </c>
      <c r="N1416" s="4">
        <f t="shared" si="22"/>
        <v>7179.0142857142855</v>
      </c>
      <c r="O1416" s="3" cm="1">
        <f t="array" ref="O1416">_xlfn.IFS(AND(K1416="Broker",J1416="Resale"),F1416*0.5,AND(K1416="Owner",J1416="Resale"),F1416*0,AND(K1416="Builder",J1416="Resale"),F1416*0.3,AND(J1416="New",K1416="Broker"),F1416*0.1,AND(J1416="New",K1416="Owner"),F1416*0,AND(J1416="New",K1416="Builder"),F1416*0.5)</f>
        <v>3517717</v>
      </c>
    </row>
    <row r="1417" spans="1:15" x14ac:dyDescent="0.3">
      <c r="A1417" s="8" t="s">
        <v>1507</v>
      </c>
      <c r="B1417" s="4" t="s">
        <v>1447</v>
      </c>
      <c r="C1417" s="4" t="s">
        <v>1461</v>
      </c>
      <c r="D1417" s="4">
        <v>1</v>
      </c>
      <c r="E1417" s="4">
        <v>551</v>
      </c>
      <c r="F1417" s="4">
        <v>4863846</v>
      </c>
      <c r="G1417" s="4">
        <v>1</v>
      </c>
      <c r="H1417" s="4">
        <v>1</v>
      </c>
      <c r="I1417" s="4" t="s">
        <v>18</v>
      </c>
      <c r="J1417" s="4" t="s">
        <v>19</v>
      </c>
      <c r="K1417" s="4" t="s">
        <v>20</v>
      </c>
      <c r="L1417" s="9">
        <v>45858</v>
      </c>
      <c r="M1417" s="9" t="str">
        <f>TEXT(Source_data[[#This Row],[Listing_Date]],"mmm-yy")</f>
        <v>Jul-25</v>
      </c>
      <c r="N1417" s="4">
        <f t="shared" si="22"/>
        <v>8827.3067150635216</v>
      </c>
      <c r="O1417" s="3" cm="1">
        <f t="array" ref="O1417">_xlfn.IFS(AND(K1417="Broker",J1417="Resale"),F1417*0.5,AND(K1417="Owner",J1417="Resale"),F1417*0,AND(K1417="Builder",J1417="Resale"),F1417*0.3,AND(J1417="New",K1417="Broker"),F1417*0.1,AND(J1417="New",K1417="Owner"),F1417*0,AND(J1417="New",K1417="Builder"),F1417*0.5)</f>
        <v>486384.60000000003</v>
      </c>
    </row>
    <row r="1418" spans="1:15" x14ac:dyDescent="0.3">
      <c r="A1418" s="8" t="s">
        <v>1508</v>
      </c>
      <c r="B1418" s="4" t="s">
        <v>1447</v>
      </c>
      <c r="C1418" s="4" t="s">
        <v>1463</v>
      </c>
      <c r="D1418" s="4">
        <v>3</v>
      </c>
      <c r="E1418" s="4">
        <v>922</v>
      </c>
      <c r="F1418" s="4">
        <v>8815462</v>
      </c>
      <c r="G1418" s="4">
        <v>3</v>
      </c>
      <c r="H1418" s="4">
        <v>1</v>
      </c>
      <c r="I1418" s="4" t="s">
        <v>27</v>
      </c>
      <c r="J1418" s="4" t="s">
        <v>23</v>
      </c>
      <c r="K1418" s="4" t="s">
        <v>36</v>
      </c>
      <c r="L1418" s="9">
        <v>45564</v>
      </c>
      <c r="M1418" s="9" t="str">
        <f>TEXT(Source_data[[#This Row],[Listing_Date]],"mmm-yy")</f>
        <v>Sep-24</v>
      </c>
      <c r="N1418" s="4">
        <f t="shared" si="22"/>
        <v>9561.2386117136666</v>
      </c>
      <c r="O1418" s="3" cm="1">
        <f t="array" ref="O1418">_xlfn.IFS(AND(K1418="Broker",J1418="Resale"),F1418*0.5,AND(K1418="Owner",J1418="Resale"),F1418*0,AND(K1418="Builder",J1418="Resale"),F1418*0.3,AND(J1418="New",K1418="Broker"),F1418*0.1,AND(J1418="New",K1418="Owner"),F1418*0,AND(J1418="New",K1418="Builder"),F1418*0.5)</f>
        <v>0</v>
      </c>
    </row>
    <row r="1419" spans="1:15" x14ac:dyDescent="0.3">
      <c r="A1419" s="8" t="s">
        <v>1509</v>
      </c>
      <c r="B1419" s="4" t="s">
        <v>1447</v>
      </c>
      <c r="C1419" s="4" t="s">
        <v>1475</v>
      </c>
      <c r="D1419" s="4">
        <v>3</v>
      </c>
      <c r="E1419" s="4">
        <v>1587</v>
      </c>
      <c r="F1419" s="4">
        <v>16772626</v>
      </c>
      <c r="G1419" s="4">
        <v>2</v>
      </c>
      <c r="H1419" s="4">
        <v>1</v>
      </c>
      <c r="I1419" s="4" t="s">
        <v>8</v>
      </c>
      <c r="J1419" s="4" t="s">
        <v>23</v>
      </c>
      <c r="K1419" s="4" t="s">
        <v>36</v>
      </c>
      <c r="L1419" s="9">
        <v>45338</v>
      </c>
      <c r="M1419" s="9" t="str">
        <f>TEXT(Source_data[[#This Row],[Listing_Date]],"mmm-yy")</f>
        <v>Feb-24</v>
      </c>
      <c r="N1419" s="4">
        <f t="shared" si="22"/>
        <v>10568.762444864524</v>
      </c>
      <c r="O1419" s="3" cm="1">
        <f t="array" ref="O1419">_xlfn.IFS(AND(K1419="Broker",J1419="Resale"),F1419*0.5,AND(K1419="Owner",J1419="Resale"),F1419*0,AND(K1419="Builder",J1419="Resale"),F1419*0.3,AND(J1419="New",K1419="Broker"),F1419*0.1,AND(J1419="New",K1419="Owner"),F1419*0,AND(J1419="New",K1419="Builder"),F1419*0.5)</f>
        <v>0</v>
      </c>
    </row>
    <row r="1420" spans="1:15" x14ac:dyDescent="0.3">
      <c r="A1420" s="8" t="s">
        <v>1510</v>
      </c>
      <c r="B1420" s="4" t="s">
        <v>1447</v>
      </c>
      <c r="C1420" s="4" t="s">
        <v>1475</v>
      </c>
      <c r="D1420" s="4">
        <v>2</v>
      </c>
      <c r="E1420" s="4">
        <v>1497</v>
      </c>
      <c r="F1420" s="4">
        <v>13373981</v>
      </c>
      <c r="G1420" s="4">
        <v>2</v>
      </c>
      <c r="H1420" s="4">
        <v>2</v>
      </c>
      <c r="I1420" s="4" t="s">
        <v>8</v>
      </c>
      <c r="J1420" s="4" t="s">
        <v>23</v>
      </c>
      <c r="K1420" s="4" t="s">
        <v>36</v>
      </c>
      <c r="L1420" s="9">
        <v>44962</v>
      </c>
      <c r="M1420" s="9" t="str">
        <f>TEXT(Source_data[[#This Row],[Listing_Date]],"mmm-yy")</f>
        <v>Feb-23</v>
      </c>
      <c r="N1420" s="4">
        <f t="shared" si="22"/>
        <v>8933.8550434201734</v>
      </c>
      <c r="O1420" s="3" cm="1">
        <f t="array" ref="O1420">_xlfn.IFS(AND(K1420="Broker",J1420="Resale"),F1420*0.5,AND(K1420="Owner",J1420="Resale"),F1420*0,AND(K1420="Builder",J1420="Resale"),F1420*0.3,AND(J1420="New",K1420="Broker"),F1420*0.1,AND(J1420="New",K1420="Owner"),F1420*0,AND(J1420="New",K1420="Builder"),F1420*0.5)</f>
        <v>0</v>
      </c>
    </row>
    <row r="1421" spans="1:15" x14ac:dyDescent="0.3">
      <c r="A1421" s="8" t="s">
        <v>1511</v>
      </c>
      <c r="B1421" s="4" t="s">
        <v>1447</v>
      </c>
      <c r="C1421" s="4" t="s">
        <v>1461</v>
      </c>
      <c r="D1421" s="4">
        <v>3</v>
      </c>
      <c r="E1421" s="4">
        <v>1228</v>
      </c>
      <c r="F1421" s="4">
        <v>14739533</v>
      </c>
      <c r="G1421" s="4">
        <v>4</v>
      </c>
      <c r="H1421" s="4">
        <v>2</v>
      </c>
      <c r="I1421" s="4" t="s">
        <v>27</v>
      </c>
      <c r="J1421" s="4" t="s">
        <v>23</v>
      </c>
      <c r="K1421" s="4" t="s">
        <v>24</v>
      </c>
      <c r="L1421" s="9">
        <v>45088</v>
      </c>
      <c r="M1421" s="9" t="str">
        <f>TEXT(Source_data[[#This Row],[Listing_Date]],"mmm-yy")</f>
        <v>Jun-23</v>
      </c>
      <c r="N1421" s="4">
        <f t="shared" si="22"/>
        <v>12002.877035830619</v>
      </c>
      <c r="O1421" s="3" cm="1">
        <f t="array" ref="O1421">_xlfn.IFS(AND(K1421="Broker",J1421="Resale"),F1421*0.5,AND(K1421="Owner",J1421="Resale"),F1421*0,AND(K1421="Builder",J1421="Resale"),F1421*0.3,AND(J1421="New",K1421="Broker"),F1421*0.1,AND(J1421="New",K1421="Owner"),F1421*0,AND(J1421="New",K1421="Builder"),F1421*0.5)</f>
        <v>4421859.8999999994</v>
      </c>
    </row>
    <row r="1422" spans="1:15" x14ac:dyDescent="0.3">
      <c r="A1422" s="8" t="s">
        <v>1512</v>
      </c>
      <c r="B1422" s="4" t="s">
        <v>1447</v>
      </c>
      <c r="C1422" s="4" t="s">
        <v>1448</v>
      </c>
      <c r="D1422" s="4">
        <v>3</v>
      </c>
      <c r="E1422" s="4">
        <v>952</v>
      </c>
      <c r="F1422" s="4">
        <v>11171997</v>
      </c>
      <c r="G1422" s="4">
        <v>3</v>
      </c>
      <c r="H1422" s="4">
        <v>2</v>
      </c>
      <c r="I1422" s="4" t="s">
        <v>27</v>
      </c>
      <c r="J1422" s="4" t="s">
        <v>23</v>
      </c>
      <c r="K1422" s="4" t="s">
        <v>20</v>
      </c>
      <c r="L1422" s="9">
        <v>45185</v>
      </c>
      <c r="M1422" s="9" t="str">
        <f>TEXT(Source_data[[#This Row],[Listing_Date]],"mmm-yy")</f>
        <v>Sep-23</v>
      </c>
      <c r="N1422" s="4">
        <f t="shared" si="22"/>
        <v>11735.290966386554</v>
      </c>
      <c r="O1422" s="3" cm="1">
        <f t="array" ref="O1422">_xlfn.IFS(AND(K1422="Broker",J1422="Resale"),F1422*0.5,AND(K1422="Owner",J1422="Resale"),F1422*0,AND(K1422="Builder",J1422="Resale"),F1422*0.3,AND(J1422="New",K1422="Broker"),F1422*0.1,AND(J1422="New",K1422="Owner"),F1422*0,AND(J1422="New",K1422="Builder"),F1422*0.5)</f>
        <v>5585998.5</v>
      </c>
    </row>
    <row r="1423" spans="1:15" x14ac:dyDescent="0.3">
      <c r="A1423" s="8" t="s">
        <v>1513</v>
      </c>
      <c r="B1423" s="4" t="s">
        <v>1447</v>
      </c>
      <c r="C1423" s="4" t="s">
        <v>1463</v>
      </c>
      <c r="D1423" s="4">
        <v>2</v>
      </c>
      <c r="E1423" s="4">
        <v>1072</v>
      </c>
      <c r="F1423" s="4">
        <v>9192064</v>
      </c>
      <c r="G1423" s="4">
        <v>2</v>
      </c>
      <c r="H1423" s="4">
        <v>1</v>
      </c>
      <c r="I1423" s="4" t="s">
        <v>8</v>
      </c>
      <c r="J1423" s="4" t="s">
        <v>19</v>
      </c>
      <c r="K1423" s="4" t="s">
        <v>24</v>
      </c>
      <c r="L1423" s="9">
        <v>45477</v>
      </c>
      <c r="M1423" s="9" t="str">
        <f>TEXT(Source_data[[#This Row],[Listing_Date]],"mmm-yy")</f>
        <v>Jul-24</v>
      </c>
      <c r="N1423" s="4">
        <f t="shared" si="22"/>
        <v>8574.686567164179</v>
      </c>
      <c r="O1423" s="3" cm="1">
        <f t="array" ref="O1423">_xlfn.IFS(AND(K1423="Broker",J1423="Resale"),F1423*0.5,AND(K1423="Owner",J1423="Resale"),F1423*0,AND(K1423="Builder",J1423="Resale"),F1423*0.3,AND(J1423="New",K1423="Broker"),F1423*0.1,AND(J1423="New",K1423="Owner"),F1423*0,AND(J1423="New",K1423="Builder"),F1423*0.5)</f>
        <v>4596032</v>
      </c>
    </row>
    <row r="1424" spans="1:15" x14ac:dyDescent="0.3">
      <c r="A1424" s="8" t="s">
        <v>1514</v>
      </c>
      <c r="B1424" s="4" t="s">
        <v>1447</v>
      </c>
      <c r="C1424" s="4" t="s">
        <v>1463</v>
      </c>
      <c r="D1424" s="4">
        <v>2</v>
      </c>
      <c r="E1424" s="4">
        <v>1093</v>
      </c>
      <c r="F1424" s="4">
        <v>8851652</v>
      </c>
      <c r="G1424" s="4">
        <v>2</v>
      </c>
      <c r="H1424" s="4">
        <v>0</v>
      </c>
      <c r="I1424" s="4" t="s">
        <v>27</v>
      </c>
      <c r="J1424" s="4" t="s">
        <v>19</v>
      </c>
      <c r="K1424" s="4" t="s">
        <v>20</v>
      </c>
      <c r="L1424" s="9">
        <v>45528</v>
      </c>
      <c r="M1424" s="9" t="str">
        <f>TEXT(Source_data[[#This Row],[Listing_Date]],"mmm-yy")</f>
        <v>Aug-24</v>
      </c>
      <c r="N1424" s="4">
        <f t="shared" si="22"/>
        <v>8098.4922232387926</v>
      </c>
      <c r="O1424" s="3" cm="1">
        <f t="array" ref="O1424">_xlfn.IFS(AND(K1424="Broker",J1424="Resale"),F1424*0.5,AND(K1424="Owner",J1424="Resale"),F1424*0,AND(K1424="Builder",J1424="Resale"),F1424*0.3,AND(J1424="New",K1424="Broker"),F1424*0.1,AND(J1424="New",K1424="Owner"),F1424*0,AND(J1424="New",K1424="Builder"),F1424*0.5)</f>
        <v>885165.20000000007</v>
      </c>
    </row>
    <row r="1425" spans="1:15" x14ac:dyDescent="0.3">
      <c r="A1425" s="8" t="s">
        <v>1515</v>
      </c>
      <c r="B1425" s="4" t="s">
        <v>1447</v>
      </c>
      <c r="C1425" s="4" t="s">
        <v>1461</v>
      </c>
      <c r="D1425" s="4">
        <v>2</v>
      </c>
      <c r="E1425" s="4">
        <v>641</v>
      </c>
      <c r="F1425" s="4">
        <v>6214883</v>
      </c>
      <c r="G1425" s="4">
        <v>2</v>
      </c>
      <c r="H1425" s="4">
        <v>1</v>
      </c>
      <c r="I1425" s="4" t="s">
        <v>8</v>
      </c>
      <c r="J1425" s="4" t="s">
        <v>23</v>
      </c>
      <c r="K1425" s="4" t="s">
        <v>24</v>
      </c>
      <c r="L1425" s="9">
        <v>45119</v>
      </c>
      <c r="M1425" s="9" t="str">
        <f>TEXT(Source_data[[#This Row],[Listing_Date]],"mmm-yy")</f>
        <v>Jul-23</v>
      </c>
      <c r="N1425" s="4">
        <f t="shared" si="22"/>
        <v>9695.6053042121694</v>
      </c>
      <c r="O1425" s="3" cm="1">
        <f t="array" ref="O1425">_xlfn.IFS(AND(K1425="Broker",J1425="Resale"),F1425*0.5,AND(K1425="Owner",J1425="Resale"),F1425*0,AND(K1425="Builder",J1425="Resale"),F1425*0.3,AND(J1425="New",K1425="Broker"),F1425*0.1,AND(J1425="New",K1425="Owner"),F1425*0,AND(J1425="New",K1425="Builder"),F1425*0.5)</f>
        <v>1864464.9</v>
      </c>
    </row>
    <row r="1426" spans="1:15" x14ac:dyDescent="0.3">
      <c r="A1426" s="8" t="s">
        <v>1516</v>
      </c>
      <c r="B1426" s="4" t="s">
        <v>1447</v>
      </c>
      <c r="C1426" s="4" t="s">
        <v>1463</v>
      </c>
      <c r="D1426" s="4">
        <v>1</v>
      </c>
      <c r="E1426" s="4">
        <v>733</v>
      </c>
      <c r="F1426" s="4">
        <v>6540576</v>
      </c>
      <c r="G1426" s="4">
        <v>1</v>
      </c>
      <c r="H1426" s="4">
        <v>2</v>
      </c>
      <c r="I1426" s="4" t="s">
        <v>8</v>
      </c>
      <c r="J1426" s="4" t="s">
        <v>19</v>
      </c>
      <c r="K1426" s="4" t="s">
        <v>36</v>
      </c>
      <c r="L1426" s="9">
        <v>45891</v>
      </c>
      <c r="M1426" s="9" t="str">
        <f>TEXT(Source_data[[#This Row],[Listing_Date]],"mmm-yy")</f>
        <v>Aug-25</v>
      </c>
      <c r="N1426" s="4">
        <f t="shared" si="22"/>
        <v>8923.0231923601641</v>
      </c>
      <c r="O1426" s="3" cm="1">
        <f t="array" ref="O1426">_xlfn.IFS(AND(K1426="Broker",J1426="Resale"),F1426*0.5,AND(K1426="Owner",J1426="Resale"),F1426*0,AND(K1426="Builder",J1426="Resale"),F1426*0.3,AND(J1426="New",K1426="Broker"),F1426*0.1,AND(J1426="New",K1426="Owner"),F1426*0,AND(J1426="New",K1426="Builder"),F1426*0.5)</f>
        <v>0</v>
      </c>
    </row>
    <row r="1427" spans="1:15" x14ac:dyDescent="0.3">
      <c r="A1427" s="8" t="s">
        <v>1517</v>
      </c>
      <c r="B1427" s="4" t="s">
        <v>1447</v>
      </c>
      <c r="C1427" s="4" t="s">
        <v>1463</v>
      </c>
      <c r="D1427" s="4">
        <v>2</v>
      </c>
      <c r="E1427" s="4">
        <v>1000</v>
      </c>
      <c r="F1427" s="4">
        <v>12117441</v>
      </c>
      <c r="G1427" s="4">
        <v>2</v>
      </c>
      <c r="H1427" s="4">
        <v>1</v>
      </c>
      <c r="I1427" s="4" t="s">
        <v>18</v>
      </c>
      <c r="J1427" s="4" t="s">
        <v>19</v>
      </c>
      <c r="K1427" s="4" t="s">
        <v>24</v>
      </c>
      <c r="L1427" s="9">
        <v>45526</v>
      </c>
      <c r="M1427" s="9" t="str">
        <f>TEXT(Source_data[[#This Row],[Listing_Date]],"mmm-yy")</f>
        <v>Aug-24</v>
      </c>
      <c r="N1427" s="4">
        <f t="shared" si="22"/>
        <v>12117.441000000001</v>
      </c>
      <c r="O1427" s="3" cm="1">
        <f t="array" ref="O1427">_xlfn.IFS(AND(K1427="Broker",J1427="Resale"),F1427*0.5,AND(K1427="Owner",J1427="Resale"),F1427*0,AND(K1427="Builder",J1427="Resale"),F1427*0.3,AND(J1427="New",K1427="Broker"),F1427*0.1,AND(J1427="New",K1427="Owner"),F1427*0,AND(J1427="New",K1427="Builder"),F1427*0.5)</f>
        <v>6058720.5</v>
      </c>
    </row>
    <row r="1428" spans="1:15" x14ac:dyDescent="0.3">
      <c r="A1428" s="8" t="s">
        <v>1518</v>
      </c>
      <c r="B1428" s="4" t="s">
        <v>1447</v>
      </c>
      <c r="C1428" s="4" t="s">
        <v>1448</v>
      </c>
      <c r="D1428" s="4">
        <v>3</v>
      </c>
      <c r="E1428" s="4">
        <v>1742</v>
      </c>
      <c r="F1428" s="4">
        <v>15906087</v>
      </c>
      <c r="G1428" s="4">
        <v>3</v>
      </c>
      <c r="H1428" s="4">
        <v>2</v>
      </c>
      <c r="I1428" s="4" t="s">
        <v>27</v>
      </c>
      <c r="J1428" s="4" t="s">
        <v>19</v>
      </c>
      <c r="K1428" s="4" t="s">
        <v>24</v>
      </c>
      <c r="L1428" s="9">
        <v>45131</v>
      </c>
      <c r="M1428" s="9" t="str">
        <f>TEXT(Source_data[[#This Row],[Listing_Date]],"mmm-yy")</f>
        <v>Jul-23</v>
      </c>
      <c r="N1428" s="4">
        <f t="shared" si="22"/>
        <v>9130.9339839265213</v>
      </c>
      <c r="O1428" s="3" cm="1">
        <f t="array" ref="O1428">_xlfn.IFS(AND(K1428="Broker",J1428="Resale"),F1428*0.5,AND(K1428="Owner",J1428="Resale"),F1428*0,AND(K1428="Builder",J1428="Resale"),F1428*0.3,AND(J1428="New",K1428="Broker"),F1428*0.1,AND(J1428="New",K1428="Owner"),F1428*0,AND(J1428="New",K1428="Builder"),F1428*0.5)</f>
        <v>7953043.5</v>
      </c>
    </row>
    <row r="1429" spans="1:15" x14ac:dyDescent="0.3">
      <c r="A1429" s="8" t="s">
        <v>1519</v>
      </c>
      <c r="B1429" s="4" t="s">
        <v>1447</v>
      </c>
      <c r="C1429" s="4" t="s">
        <v>1451</v>
      </c>
      <c r="D1429" s="4">
        <v>2</v>
      </c>
      <c r="E1429" s="4">
        <v>350</v>
      </c>
      <c r="F1429" s="4">
        <v>2817441</v>
      </c>
      <c r="G1429" s="4">
        <v>1</v>
      </c>
      <c r="H1429" s="4">
        <v>1</v>
      </c>
      <c r="I1429" s="4" t="s">
        <v>27</v>
      </c>
      <c r="J1429" s="4" t="s">
        <v>19</v>
      </c>
      <c r="K1429" s="4" t="s">
        <v>24</v>
      </c>
      <c r="L1429" s="9">
        <v>45192</v>
      </c>
      <c r="M1429" s="9" t="str">
        <f>TEXT(Source_data[[#This Row],[Listing_Date]],"mmm-yy")</f>
        <v>Sep-23</v>
      </c>
      <c r="N1429" s="4">
        <f t="shared" si="22"/>
        <v>8049.8314285714287</v>
      </c>
      <c r="O1429" s="3" cm="1">
        <f t="array" ref="O1429">_xlfn.IFS(AND(K1429="Broker",J1429="Resale"),F1429*0.5,AND(K1429="Owner",J1429="Resale"),F1429*0,AND(K1429="Builder",J1429="Resale"),F1429*0.3,AND(J1429="New",K1429="Broker"),F1429*0.1,AND(J1429="New",K1429="Owner"),F1429*0,AND(J1429="New",K1429="Builder"),F1429*0.5)</f>
        <v>1408720.5</v>
      </c>
    </row>
    <row r="1430" spans="1:15" x14ac:dyDescent="0.3">
      <c r="A1430" s="8" t="s">
        <v>1520</v>
      </c>
      <c r="B1430" s="4" t="s">
        <v>1447</v>
      </c>
      <c r="C1430" s="4" t="s">
        <v>1461</v>
      </c>
      <c r="D1430" s="4">
        <v>2</v>
      </c>
      <c r="E1430" s="4">
        <v>885</v>
      </c>
      <c r="F1430" s="4">
        <v>7581381</v>
      </c>
      <c r="G1430" s="4">
        <v>2</v>
      </c>
      <c r="H1430" s="4">
        <v>1</v>
      </c>
      <c r="I1430" s="4" t="s">
        <v>27</v>
      </c>
      <c r="J1430" s="4" t="s">
        <v>19</v>
      </c>
      <c r="K1430" s="4" t="s">
        <v>20</v>
      </c>
      <c r="L1430" s="9">
        <v>45743</v>
      </c>
      <c r="M1430" s="9" t="str">
        <f>TEXT(Source_data[[#This Row],[Listing_Date]],"mmm-yy")</f>
        <v>Mar-25</v>
      </c>
      <c r="N1430" s="4">
        <f t="shared" si="22"/>
        <v>8566.5322033898301</v>
      </c>
      <c r="O1430" s="3" cm="1">
        <f t="array" ref="O1430">_xlfn.IFS(AND(K1430="Broker",J1430="Resale"),F1430*0.5,AND(K1430="Owner",J1430="Resale"),F1430*0,AND(K1430="Builder",J1430="Resale"),F1430*0.3,AND(J1430="New",K1430="Broker"),F1430*0.1,AND(J1430="New",K1430="Owner"),F1430*0,AND(J1430="New",K1430="Builder"),F1430*0.5)</f>
        <v>758138.10000000009</v>
      </c>
    </row>
    <row r="1431" spans="1:15" x14ac:dyDescent="0.3">
      <c r="A1431" s="8" t="s">
        <v>1521</v>
      </c>
      <c r="B1431" s="4" t="s">
        <v>1447</v>
      </c>
      <c r="C1431" s="4" t="s">
        <v>1448</v>
      </c>
      <c r="D1431" s="4">
        <v>2</v>
      </c>
      <c r="E1431" s="4">
        <v>891</v>
      </c>
      <c r="F1431" s="4">
        <v>8381714</v>
      </c>
      <c r="G1431" s="4">
        <v>3</v>
      </c>
      <c r="H1431" s="4">
        <v>1</v>
      </c>
      <c r="I1431" s="4" t="s">
        <v>27</v>
      </c>
      <c r="J1431" s="4" t="s">
        <v>19</v>
      </c>
      <c r="K1431" s="4" t="s">
        <v>20</v>
      </c>
      <c r="L1431" s="9">
        <v>45548</v>
      </c>
      <c r="M1431" s="9" t="str">
        <f>TEXT(Source_data[[#This Row],[Listing_Date]],"mmm-yy")</f>
        <v>Sep-24</v>
      </c>
      <c r="N1431" s="4">
        <f t="shared" si="22"/>
        <v>9407.0864197530864</v>
      </c>
      <c r="O1431" s="3" cm="1">
        <f t="array" ref="O1431">_xlfn.IFS(AND(K1431="Broker",J1431="Resale"),F1431*0.5,AND(K1431="Owner",J1431="Resale"),F1431*0,AND(K1431="Builder",J1431="Resale"),F1431*0.3,AND(J1431="New",K1431="Broker"),F1431*0.1,AND(J1431="New",K1431="Owner"),F1431*0,AND(J1431="New",K1431="Builder"),F1431*0.5)</f>
        <v>838171.4</v>
      </c>
    </row>
    <row r="1432" spans="1:15" x14ac:dyDescent="0.3">
      <c r="A1432" s="8" t="s">
        <v>1522</v>
      </c>
      <c r="B1432" s="4" t="s">
        <v>1447</v>
      </c>
      <c r="C1432" s="4" t="s">
        <v>1461</v>
      </c>
      <c r="D1432" s="4">
        <v>1</v>
      </c>
      <c r="E1432" s="4">
        <v>621</v>
      </c>
      <c r="F1432" s="4">
        <v>6872709</v>
      </c>
      <c r="G1432" s="4">
        <v>1</v>
      </c>
      <c r="H1432" s="4">
        <v>3</v>
      </c>
      <c r="I1432" s="4" t="s">
        <v>8</v>
      </c>
      <c r="J1432" s="4" t="s">
        <v>23</v>
      </c>
      <c r="K1432" s="4" t="s">
        <v>36</v>
      </c>
      <c r="L1432" s="9">
        <v>45445</v>
      </c>
      <c r="M1432" s="9" t="str">
        <f>TEXT(Source_data[[#This Row],[Listing_Date]],"mmm-yy")</f>
        <v>Jun-24</v>
      </c>
      <c r="N1432" s="4">
        <f t="shared" si="22"/>
        <v>11067.164251207729</v>
      </c>
      <c r="O1432" s="3" cm="1">
        <f t="array" ref="O1432">_xlfn.IFS(AND(K1432="Broker",J1432="Resale"),F1432*0.5,AND(K1432="Owner",J1432="Resale"),F1432*0,AND(K1432="Builder",J1432="Resale"),F1432*0.3,AND(J1432="New",K1432="Broker"),F1432*0.1,AND(J1432="New",K1432="Owner"),F1432*0,AND(J1432="New",K1432="Builder"),F1432*0.5)</f>
        <v>0</v>
      </c>
    </row>
    <row r="1433" spans="1:15" x14ac:dyDescent="0.3">
      <c r="A1433" s="8" t="s">
        <v>1523</v>
      </c>
      <c r="B1433" s="4" t="s">
        <v>1447</v>
      </c>
      <c r="C1433" s="4" t="s">
        <v>1453</v>
      </c>
      <c r="D1433" s="4">
        <v>5</v>
      </c>
      <c r="E1433" s="4">
        <v>1961</v>
      </c>
      <c r="F1433" s="4">
        <v>16909048</v>
      </c>
      <c r="G1433" s="4">
        <v>3</v>
      </c>
      <c r="H1433" s="4">
        <v>1</v>
      </c>
      <c r="I1433" s="4" t="s">
        <v>18</v>
      </c>
      <c r="J1433" s="4" t="s">
        <v>19</v>
      </c>
      <c r="K1433" s="4" t="s">
        <v>36</v>
      </c>
      <c r="L1433" s="9">
        <v>45197</v>
      </c>
      <c r="M1433" s="9" t="str">
        <f>TEXT(Source_data[[#This Row],[Listing_Date]],"mmm-yy")</f>
        <v>Sep-23</v>
      </c>
      <c r="N1433" s="4">
        <f t="shared" si="22"/>
        <v>8622.6659867414583</v>
      </c>
      <c r="O1433" s="3" cm="1">
        <f t="array" ref="O1433">_xlfn.IFS(AND(K1433="Broker",J1433="Resale"),F1433*0.5,AND(K1433="Owner",J1433="Resale"),F1433*0,AND(K1433="Builder",J1433="Resale"),F1433*0.3,AND(J1433="New",K1433="Broker"),F1433*0.1,AND(J1433="New",K1433="Owner"),F1433*0,AND(J1433="New",K1433="Builder"),F1433*0.5)</f>
        <v>0</v>
      </c>
    </row>
    <row r="1434" spans="1:15" x14ac:dyDescent="0.3">
      <c r="A1434" s="8" t="s">
        <v>1524</v>
      </c>
      <c r="B1434" s="4" t="s">
        <v>1447</v>
      </c>
      <c r="C1434" s="4" t="s">
        <v>1453</v>
      </c>
      <c r="D1434" s="4">
        <v>2</v>
      </c>
      <c r="E1434" s="4">
        <v>770</v>
      </c>
      <c r="F1434" s="4">
        <v>7251217</v>
      </c>
      <c r="G1434" s="4">
        <v>2</v>
      </c>
      <c r="H1434" s="4">
        <v>0</v>
      </c>
      <c r="I1434" s="4" t="s">
        <v>18</v>
      </c>
      <c r="J1434" s="4" t="s">
        <v>19</v>
      </c>
      <c r="K1434" s="4" t="s">
        <v>24</v>
      </c>
      <c r="L1434" s="9">
        <v>45580</v>
      </c>
      <c r="M1434" s="9" t="str">
        <f>TEXT(Source_data[[#This Row],[Listing_Date]],"mmm-yy")</f>
        <v>Oct-24</v>
      </c>
      <c r="N1434" s="4">
        <f t="shared" si="22"/>
        <v>9417.164935064935</v>
      </c>
      <c r="O1434" s="3" cm="1">
        <f t="array" ref="O1434">_xlfn.IFS(AND(K1434="Broker",J1434="Resale"),F1434*0.5,AND(K1434="Owner",J1434="Resale"),F1434*0,AND(K1434="Builder",J1434="Resale"),F1434*0.3,AND(J1434="New",K1434="Broker"),F1434*0.1,AND(J1434="New",K1434="Owner"),F1434*0,AND(J1434="New",K1434="Builder"),F1434*0.5)</f>
        <v>3625608.5</v>
      </c>
    </row>
    <row r="1435" spans="1:15" x14ac:dyDescent="0.3">
      <c r="A1435" s="8" t="s">
        <v>1525</v>
      </c>
      <c r="B1435" s="4" t="s">
        <v>1447</v>
      </c>
      <c r="C1435" s="4" t="s">
        <v>1475</v>
      </c>
      <c r="D1435" s="4">
        <v>3</v>
      </c>
      <c r="E1435" s="4">
        <v>1146</v>
      </c>
      <c r="F1435" s="4">
        <v>9874214</v>
      </c>
      <c r="G1435" s="4">
        <v>3</v>
      </c>
      <c r="H1435" s="4">
        <v>0</v>
      </c>
      <c r="I1435" s="4" t="s">
        <v>18</v>
      </c>
      <c r="J1435" s="4" t="s">
        <v>23</v>
      </c>
      <c r="K1435" s="4" t="s">
        <v>36</v>
      </c>
      <c r="L1435" s="9">
        <v>45486</v>
      </c>
      <c r="M1435" s="9" t="str">
        <f>TEXT(Source_data[[#This Row],[Listing_Date]],"mmm-yy")</f>
        <v>Jul-24</v>
      </c>
      <c r="N1435" s="4">
        <f t="shared" si="22"/>
        <v>8616.2425828970336</v>
      </c>
      <c r="O1435" s="3" cm="1">
        <f t="array" ref="O1435">_xlfn.IFS(AND(K1435="Broker",J1435="Resale"),F1435*0.5,AND(K1435="Owner",J1435="Resale"),F1435*0,AND(K1435="Builder",J1435="Resale"),F1435*0.3,AND(J1435="New",K1435="Broker"),F1435*0.1,AND(J1435="New",K1435="Owner"),F1435*0,AND(J1435="New",K1435="Builder"),F1435*0.5)</f>
        <v>0</v>
      </c>
    </row>
    <row r="1436" spans="1:15" x14ac:dyDescent="0.3">
      <c r="A1436" s="8" t="s">
        <v>1526</v>
      </c>
      <c r="B1436" s="4" t="s">
        <v>1447</v>
      </c>
      <c r="C1436" s="4" t="s">
        <v>1451</v>
      </c>
      <c r="D1436" s="4">
        <v>4</v>
      </c>
      <c r="E1436" s="4">
        <v>1625</v>
      </c>
      <c r="F1436" s="4">
        <v>36450513</v>
      </c>
      <c r="G1436" s="4">
        <v>2</v>
      </c>
      <c r="H1436" s="4">
        <v>1</v>
      </c>
      <c r="I1436" s="4" t="s">
        <v>67</v>
      </c>
      <c r="J1436" s="4" t="s">
        <v>23</v>
      </c>
      <c r="K1436" s="4" t="s">
        <v>24</v>
      </c>
      <c r="L1436" s="9">
        <v>45048</v>
      </c>
      <c r="M1436" s="9" t="str">
        <f>TEXT(Source_data[[#This Row],[Listing_Date]],"mmm-yy")</f>
        <v>May-23</v>
      </c>
      <c r="N1436" s="4">
        <f t="shared" si="22"/>
        <v>22431.084923076924</v>
      </c>
      <c r="O1436" s="3" cm="1">
        <f t="array" ref="O1436">_xlfn.IFS(AND(K1436="Broker",J1436="Resale"),F1436*0.5,AND(K1436="Owner",J1436="Resale"),F1436*0,AND(K1436="Builder",J1436="Resale"),F1436*0.3,AND(J1436="New",K1436="Broker"),F1436*0.1,AND(J1436="New",K1436="Owner"),F1436*0,AND(J1436="New",K1436="Builder"),F1436*0.5)</f>
        <v>10935153.9</v>
      </c>
    </row>
    <row r="1437" spans="1:15" x14ac:dyDescent="0.3">
      <c r="A1437" s="8" t="s">
        <v>1527</v>
      </c>
      <c r="B1437" s="4" t="s">
        <v>1447</v>
      </c>
      <c r="C1437" s="4" t="s">
        <v>1461</v>
      </c>
      <c r="D1437" s="4">
        <v>3</v>
      </c>
      <c r="E1437" s="4">
        <v>951</v>
      </c>
      <c r="F1437" s="4">
        <v>9103078</v>
      </c>
      <c r="G1437" s="4">
        <v>3</v>
      </c>
      <c r="H1437" s="4">
        <v>1</v>
      </c>
      <c r="I1437" s="4" t="s">
        <v>27</v>
      </c>
      <c r="J1437" s="4" t="s">
        <v>23</v>
      </c>
      <c r="K1437" s="4" t="s">
        <v>36</v>
      </c>
      <c r="L1437" s="9">
        <v>45310</v>
      </c>
      <c r="M1437" s="9" t="str">
        <f>TEXT(Source_data[[#This Row],[Listing_Date]],"mmm-yy")</f>
        <v>Jan-24</v>
      </c>
      <c r="N1437" s="4">
        <f t="shared" si="22"/>
        <v>9572.1114616193481</v>
      </c>
      <c r="O1437" s="3" cm="1">
        <f t="array" ref="O1437">_xlfn.IFS(AND(K1437="Broker",J1437="Resale"),F1437*0.5,AND(K1437="Owner",J1437="Resale"),F1437*0,AND(K1437="Builder",J1437="Resale"),F1437*0.3,AND(J1437="New",K1437="Broker"),F1437*0.1,AND(J1437="New",K1437="Owner"),F1437*0,AND(J1437="New",K1437="Builder"),F1437*0.5)</f>
        <v>0</v>
      </c>
    </row>
    <row r="1438" spans="1:15" x14ac:dyDescent="0.3">
      <c r="A1438" s="8" t="s">
        <v>1528</v>
      </c>
      <c r="B1438" s="4" t="s">
        <v>1447</v>
      </c>
      <c r="C1438" s="4" t="s">
        <v>1453</v>
      </c>
      <c r="D1438" s="4">
        <v>3</v>
      </c>
      <c r="E1438" s="4">
        <v>635</v>
      </c>
      <c r="F1438" s="4">
        <v>5800306</v>
      </c>
      <c r="G1438" s="4">
        <v>3</v>
      </c>
      <c r="H1438" s="4">
        <v>1</v>
      </c>
      <c r="I1438" s="4" t="s">
        <v>27</v>
      </c>
      <c r="J1438" s="4" t="s">
        <v>19</v>
      </c>
      <c r="K1438" s="4" t="s">
        <v>36</v>
      </c>
      <c r="L1438" s="9">
        <v>45137</v>
      </c>
      <c r="M1438" s="9" t="str">
        <f>TEXT(Source_data[[#This Row],[Listing_Date]],"mmm-yy")</f>
        <v>Jul-23</v>
      </c>
      <c r="N1438" s="4">
        <f t="shared" si="22"/>
        <v>9134.3401574803156</v>
      </c>
      <c r="O1438" s="3" cm="1">
        <f t="array" ref="O1438">_xlfn.IFS(AND(K1438="Broker",J1438="Resale"),F1438*0.5,AND(K1438="Owner",J1438="Resale"),F1438*0,AND(K1438="Builder",J1438="Resale"),F1438*0.3,AND(J1438="New",K1438="Broker"),F1438*0.1,AND(J1438="New",K1438="Owner"),F1438*0,AND(J1438="New",K1438="Builder"),F1438*0.5)</f>
        <v>0</v>
      </c>
    </row>
    <row r="1439" spans="1:15" x14ac:dyDescent="0.3">
      <c r="A1439" s="8" t="s">
        <v>1529</v>
      </c>
      <c r="B1439" s="4" t="s">
        <v>1447</v>
      </c>
      <c r="C1439" s="4" t="s">
        <v>1448</v>
      </c>
      <c r="D1439" s="4">
        <v>4</v>
      </c>
      <c r="E1439" s="4">
        <v>1417</v>
      </c>
      <c r="F1439" s="4">
        <v>10217307</v>
      </c>
      <c r="G1439" s="4">
        <v>3</v>
      </c>
      <c r="H1439" s="4">
        <v>1</v>
      </c>
      <c r="I1439" s="4" t="s">
        <v>8</v>
      </c>
      <c r="J1439" s="4" t="s">
        <v>23</v>
      </c>
      <c r="K1439" s="4" t="s">
        <v>36</v>
      </c>
      <c r="L1439" s="9">
        <v>45687</v>
      </c>
      <c r="M1439" s="9" t="str">
        <f>TEXT(Source_data[[#This Row],[Listing_Date]],"mmm-yy")</f>
        <v>Jan-25</v>
      </c>
      <c r="N1439" s="4">
        <f t="shared" si="22"/>
        <v>7210.520112914608</v>
      </c>
      <c r="O1439" s="3" cm="1">
        <f t="array" ref="O1439">_xlfn.IFS(AND(K1439="Broker",J1439="Resale"),F1439*0.5,AND(K1439="Owner",J1439="Resale"),F1439*0,AND(K1439="Builder",J1439="Resale"),F1439*0.3,AND(J1439="New",K1439="Broker"),F1439*0.1,AND(J1439="New",K1439="Owner"),F1439*0,AND(J1439="New",K1439="Builder"),F1439*0.5)</f>
        <v>0</v>
      </c>
    </row>
    <row r="1440" spans="1:15" x14ac:dyDescent="0.3">
      <c r="A1440" s="8" t="s">
        <v>1530</v>
      </c>
      <c r="B1440" s="4" t="s">
        <v>1447</v>
      </c>
      <c r="C1440" s="4" t="s">
        <v>1463</v>
      </c>
      <c r="D1440" s="4">
        <v>3</v>
      </c>
      <c r="E1440" s="4">
        <v>1618</v>
      </c>
      <c r="F1440" s="4">
        <v>12056793</v>
      </c>
      <c r="G1440" s="4">
        <v>3</v>
      </c>
      <c r="H1440" s="4">
        <v>1</v>
      </c>
      <c r="I1440" s="4" t="s">
        <v>8</v>
      </c>
      <c r="J1440" s="4" t="s">
        <v>19</v>
      </c>
      <c r="K1440" s="4" t="s">
        <v>20</v>
      </c>
      <c r="L1440" s="9">
        <v>45778</v>
      </c>
      <c r="M1440" s="9" t="str">
        <f>TEXT(Source_data[[#This Row],[Listing_Date]],"mmm-yy")</f>
        <v>May-25</v>
      </c>
      <c r="N1440" s="4">
        <f t="shared" si="22"/>
        <v>7451.6644004944374</v>
      </c>
      <c r="O1440" s="3" cm="1">
        <f t="array" ref="O1440">_xlfn.IFS(AND(K1440="Broker",J1440="Resale"),F1440*0.5,AND(K1440="Owner",J1440="Resale"),F1440*0,AND(K1440="Builder",J1440="Resale"),F1440*0.3,AND(J1440="New",K1440="Broker"),F1440*0.1,AND(J1440="New",K1440="Owner"),F1440*0,AND(J1440="New",K1440="Builder"),F1440*0.5)</f>
        <v>1205679.3</v>
      </c>
    </row>
    <row r="1441" spans="1:15" x14ac:dyDescent="0.3">
      <c r="A1441" s="8" t="s">
        <v>1531</v>
      </c>
      <c r="B1441" s="4" t="s">
        <v>1447</v>
      </c>
      <c r="C1441" s="4" t="s">
        <v>1453</v>
      </c>
      <c r="D1441" s="4">
        <v>3</v>
      </c>
      <c r="E1441" s="4">
        <v>1077</v>
      </c>
      <c r="F1441" s="4">
        <v>10837402</v>
      </c>
      <c r="G1441" s="4">
        <v>3</v>
      </c>
      <c r="H1441" s="4">
        <v>1</v>
      </c>
      <c r="I1441" s="4" t="s">
        <v>18</v>
      </c>
      <c r="J1441" s="4" t="s">
        <v>23</v>
      </c>
      <c r="K1441" s="4" t="s">
        <v>20</v>
      </c>
      <c r="L1441" s="9">
        <v>45808</v>
      </c>
      <c r="M1441" s="9" t="str">
        <f>TEXT(Source_data[[#This Row],[Listing_Date]],"mmm-yy")</f>
        <v>May-25</v>
      </c>
      <c r="N1441" s="4">
        <f t="shared" si="22"/>
        <v>10062.583101207056</v>
      </c>
      <c r="O1441" s="3" cm="1">
        <f t="array" ref="O1441">_xlfn.IFS(AND(K1441="Broker",J1441="Resale"),F1441*0.5,AND(K1441="Owner",J1441="Resale"),F1441*0,AND(K1441="Builder",J1441="Resale"),F1441*0.3,AND(J1441="New",K1441="Broker"),F1441*0.1,AND(J1441="New",K1441="Owner"),F1441*0,AND(J1441="New",K1441="Builder"),F1441*0.5)</f>
        <v>5418701</v>
      </c>
    </row>
    <row r="1442" spans="1:15" x14ac:dyDescent="0.3">
      <c r="A1442" s="8" t="s">
        <v>1532</v>
      </c>
      <c r="B1442" s="4" t="s">
        <v>1447</v>
      </c>
      <c r="C1442" s="4" t="s">
        <v>1451</v>
      </c>
      <c r="D1442" s="4">
        <v>3</v>
      </c>
      <c r="E1442" s="4">
        <v>1049</v>
      </c>
      <c r="F1442" s="4">
        <v>11941585</v>
      </c>
      <c r="G1442" s="4">
        <v>2</v>
      </c>
      <c r="H1442" s="4">
        <v>2</v>
      </c>
      <c r="I1442" s="4" t="s">
        <v>18</v>
      </c>
      <c r="J1442" s="4" t="s">
        <v>19</v>
      </c>
      <c r="K1442" s="4" t="s">
        <v>24</v>
      </c>
      <c r="L1442" s="9">
        <v>45103</v>
      </c>
      <c r="M1442" s="9" t="str">
        <f>TEXT(Source_data[[#This Row],[Listing_Date]],"mmm-yy")</f>
        <v>Jun-23</v>
      </c>
      <c r="N1442" s="4">
        <f t="shared" si="22"/>
        <v>11383.779790276454</v>
      </c>
      <c r="O1442" s="3" cm="1">
        <f t="array" ref="O1442">_xlfn.IFS(AND(K1442="Broker",J1442="Resale"),F1442*0.5,AND(K1442="Owner",J1442="Resale"),F1442*0,AND(K1442="Builder",J1442="Resale"),F1442*0.3,AND(J1442="New",K1442="Broker"),F1442*0.1,AND(J1442="New",K1442="Owner"),F1442*0,AND(J1442="New",K1442="Builder"),F1442*0.5)</f>
        <v>5970792.5</v>
      </c>
    </row>
    <row r="1443" spans="1:15" x14ac:dyDescent="0.3">
      <c r="A1443" s="8" t="s">
        <v>1533</v>
      </c>
      <c r="B1443" s="4" t="s">
        <v>1447</v>
      </c>
      <c r="C1443" s="4" t="s">
        <v>1475</v>
      </c>
      <c r="D1443" s="4">
        <v>3</v>
      </c>
      <c r="E1443" s="4">
        <v>1645</v>
      </c>
      <c r="F1443" s="4">
        <v>15994154</v>
      </c>
      <c r="G1443" s="4">
        <v>2</v>
      </c>
      <c r="H1443" s="4">
        <v>0</v>
      </c>
      <c r="I1443" s="4" t="s">
        <v>27</v>
      </c>
      <c r="J1443" s="4" t="s">
        <v>23</v>
      </c>
      <c r="K1443" s="4" t="s">
        <v>36</v>
      </c>
      <c r="L1443" s="9">
        <v>45340</v>
      </c>
      <c r="M1443" s="9" t="str">
        <f>TEXT(Source_data[[#This Row],[Listing_Date]],"mmm-yy")</f>
        <v>Feb-24</v>
      </c>
      <c r="N1443" s="4">
        <f t="shared" si="22"/>
        <v>9722.8899696048629</v>
      </c>
      <c r="O1443" s="3" cm="1">
        <f t="array" ref="O1443">_xlfn.IFS(AND(K1443="Broker",J1443="Resale"),F1443*0.5,AND(K1443="Owner",J1443="Resale"),F1443*0,AND(K1443="Builder",J1443="Resale"),F1443*0.3,AND(J1443="New",K1443="Broker"),F1443*0.1,AND(J1443="New",K1443="Owner"),F1443*0,AND(J1443="New",K1443="Builder"),F1443*0.5)</f>
        <v>0</v>
      </c>
    </row>
    <row r="1444" spans="1:15" x14ac:dyDescent="0.3">
      <c r="A1444" s="8" t="s">
        <v>1534</v>
      </c>
      <c r="B1444" s="4" t="s">
        <v>1447</v>
      </c>
      <c r="C1444" s="4" t="s">
        <v>1453</v>
      </c>
      <c r="D1444" s="4">
        <v>2</v>
      </c>
      <c r="E1444" s="4">
        <v>969</v>
      </c>
      <c r="F1444" s="4">
        <v>8567842</v>
      </c>
      <c r="G1444" s="4">
        <v>2</v>
      </c>
      <c r="H1444" s="4">
        <v>2</v>
      </c>
      <c r="I1444" s="4" t="s">
        <v>8</v>
      </c>
      <c r="J1444" s="4" t="s">
        <v>19</v>
      </c>
      <c r="K1444" s="4" t="s">
        <v>24</v>
      </c>
      <c r="L1444" s="9">
        <v>45607</v>
      </c>
      <c r="M1444" s="9" t="str">
        <f>TEXT(Source_data[[#This Row],[Listing_Date]],"mmm-yy")</f>
        <v>Nov-24</v>
      </c>
      <c r="N1444" s="4">
        <f t="shared" si="22"/>
        <v>8841.9422084623329</v>
      </c>
      <c r="O1444" s="3" cm="1">
        <f t="array" ref="O1444">_xlfn.IFS(AND(K1444="Broker",J1444="Resale"),F1444*0.5,AND(K1444="Owner",J1444="Resale"),F1444*0,AND(K1444="Builder",J1444="Resale"),F1444*0.3,AND(J1444="New",K1444="Broker"),F1444*0.1,AND(J1444="New",K1444="Owner"),F1444*0,AND(J1444="New",K1444="Builder"),F1444*0.5)</f>
        <v>4283921</v>
      </c>
    </row>
    <row r="1445" spans="1:15" x14ac:dyDescent="0.3">
      <c r="A1445" s="8" t="s">
        <v>1535</v>
      </c>
      <c r="B1445" s="4" t="s">
        <v>1447</v>
      </c>
      <c r="C1445" s="4" t="s">
        <v>1451</v>
      </c>
      <c r="D1445" s="4">
        <v>3</v>
      </c>
      <c r="E1445" s="4">
        <v>1575</v>
      </c>
      <c r="F1445" s="4">
        <v>16217770</v>
      </c>
      <c r="G1445" s="4">
        <v>2</v>
      </c>
      <c r="H1445" s="4">
        <v>2</v>
      </c>
      <c r="I1445" s="4" t="s">
        <v>8</v>
      </c>
      <c r="J1445" s="4" t="s">
        <v>23</v>
      </c>
      <c r="K1445" s="4" t="s">
        <v>24</v>
      </c>
      <c r="L1445" s="9">
        <v>45660</v>
      </c>
      <c r="M1445" s="9" t="str">
        <f>TEXT(Source_data[[#This Row],[Listing_Date]],"mmm-yy")</f>
        <v>Jan-25</v>
      </c>
      <c r="N1445" s="4">
        <f t="shared" si="22"/>
        <v>10296.996825396825</v>
      </c>
      <c r="O1445" s="3" cm="1">
        <f t="array" ref="O1445">_xlfn.IFS(AND(K1445="Broker",J1445="Resale"),F1445*0.5,AND(K1445="Owner",J1445="Resale"),F1445*0,AND(K1445="Builder",J1445="Resale"),F1445*0.3,AND(J1445="New",K1445="Broker"),F1445*0.1,AND(J1445="New",K1445="Owner"),F1445*0,AND(J1445="New",K1445="Builder"),F1445*0.5)</f>
        <v>4865331</v>
      </c>
    </row>
    <row r="1446" spans="1:15" x14ac:dyDescent="0.3">
      <c r="A1446" s="8" t="s">
        <v>1536</v>
      </c>
      <c r="B1446" s="4" t="s">
        <v>1447</v>
      </c>
      <c r="C1446" s="4" t="s">
        <v>1448</v>
      </c>
      <c r="D1446" s="4">
        <v>3</v>
      </c>
      <c r="E1446" s="4">
        <v>1315</v>
      </c>
      <c r="F1446" s="4">
        <v>12689656</v>
      </c>
      <c r="G1446" s="4">
        <v>3</v>
      </c>
      <c r="H1446" s="4">
        <v>1</v>
      </c>
      <c r="I1446" s="4" t="s">
        <v>67</v>
      </c>
      <c r="J1446" s="4" t="s">
        <v>23</v>
      </c>
      <c r="K1446" s="4" t="s">
        <v>24</v>
      </c>
      <c r="L1446" s="9">
        <v>45427</v>
      </c>
      <c r="M1446" s="9" t="str">
        <f>TEXT(Source_data[[#This Row],[Listing_Date]],"mmm-yy")</f>
        <v>May-24</v>
      </c>
      <c r="N1446" s="4">
        <f t="shared" si="22"/>
        <v>9649.9285171102656</v>
      </c>
      <c r="O1446" s="3" cm="1">
        <f t="array" ref="O1446">_xlfn.IFS(AND(K1446="Broker",J1446="Resale"),F1446*0.5,AND(K1446="Owner",J1446="Resale"),F1446*0,AND(K1446="Builder",J1446="Resale"),F1446*0.3,AND(J1446="New",K1446="Broker"),F1446*0.1,AND(J1446="New",K1446="Owner"),F1446*0,AND(J1446="New",K1446="Builder"),F1446*0.5)</f>
        <v>3806896.8</v>
      </c>
    </row>
    <row r="1447" spans="1:15" x14ac:dyDescent="0.3">
      <c r="A1447" s="8" t="s">
        <v>1537</v>
      </c>
      <c r="B1447" s="4" t="s">
        <v>1447</v>
      </c>
      <c r="C1447" s="4" t="s">
        <v>1448</v>
      </c>
      <c r="D1447" s="4">
        <v>2</v>
      </c>
      <c r="E1447" s="4">
        <v>1048</v>
      </c>
      <c r="F1447" s="4">
        <v>7821195</v>
      </c>
      <c r="G1447" s="4">
        <v>1</v>
      </c>
      <c r="H1447" s="4">
        <v>1</v>
      </c>
      <c r="I1447" s="4" t="s">
        <v>8</v>
      </c>
      <c r="J1447" s="4" t="s">
        <v>19</v>
      </c>
      <c r="K1447" s="4" t="s">
        <v>20</v>
      </c>
      <c r="L1447" s="9">
        <v>45521</v>
      </c>
      <c r="M1447" s="9" t="str">
        <f>TEXT(Source_data[[#This Row],[Listing_Date]],"mmm-yy")</f>
        <v>Aug-24</v>
      </c>
      <c r="N1447" s="4">
        <f t="shared" si="22"/>
        <v>7462.9723282442746</v>
      </c>
      <c r="O1447" s="3" cm="1">
        <f t="array" ref="O1447">_xlfn.IFS(AND(K1447="Broker",J1447="Resale"),F1447*0.5,AND(K1447="Owner",J1447="Resale"),F1447*0,AND(K1447="Builder",J1447="Resale"),F1447*0.3,AND(J1447="New",K1447="Broker"),F1447*0.1,AND(J1447="New",K1447="Owner"),F1447*0,AND(J1447="New",K1447="Builder"),F1447*0.5)</f>
        <v>782119.5</v>
      </c>
    </row>
    <row r="1448" spans="1:15" x14ac:dyDescent="0.3">
      <c r="A1448" s="8" t="s">
        <v>1538</v>
      </c>
      <c r="B1448" s="4" t="s">
        <v>1447</v>
      </c>
      <c r="C1448" s="4" t="s">
        <v>1461</v>
      </c>
      <c r="D1448" s="4">
        <v>1</v>
      </c>
      <c r="E1448" s="4">
        <v>1204</v>
      </c>
      <c r="F1448" s="4">
        <v>12066956</v>
      </c>
      <c r="G1448" s="4">
        <v>2</v>
      </c>
      <c r="H1448" s="4">
        <v>2</v>
      </c>
      <c r="I1448" s="4" t="s">
        <v>8</v>
      </c>
      <c r="J1448" s="4" t="s">
        <v>19</v>
      </c>
      <c r="K1448" s="4" t="s">
        <v>24</v>
      </c>
      <c r="L1448" s="9">
        <v>45171</v>
      </c>
      <c r="M1448" s="9" t="str">
        <f>TEXT(Source_data[[#This Row],[Listing_Date]],"mmm-yy")</f>
        <v>Sep-23</v>
      </c>
      <c r="N1448" s="4">
        <f t="shared" si="22"/>
        <v>10022.388704318937</v>
      </c>
      <c r="O1448" s="3" cm="1">
        <f t="array" ref="O1448">_xlfn.IFS(AND(K1448="Broker",J1448="Resale"),F1448*0.5,AND(K1448="Owner",J1448="Resale"),F1448*0,AND(K1448="Builder",J1448="Resale"),F1448*0.3,AND(J1448="New",K1448="Broker"),F1448*0.1,AND(J1448="New",K1448="Owner"),F1448*0,AND(J1448="New",K1448="Builder"),F1448*0.5)</f>
        <v>6033478</v>
      </c>
    </row>
    <row r="1449" spans="1:15" x14ac:dyDescent="0.3">
      <c r="A1449" s="8" t="s">
        <v>1539</v>
      </c>
      <c r="B1449" s="4" t="s">
        <v>1447</v>
      </c>
      <c r="C1449" s="4" t="s">
        <v>1451</v>
      </c>
      <c r="D1449" s="4">
        <v>3</v>
      </c>
      <c r="E1449" s="4">
        <v>889</v>
      </c>
      <c r="F1449" s="4">
        <v>9419009</v>
      </c>
      <c r="G1449" s="4">
        <v>3</v>
      </c>
      <c r="H1449" s="4">
        <v>1</v>
      </c>
      <c r="I1449" s="4" t="s">
        <v>8</v>
      </c>
      <c r="J1449" s="4" t="s">
        <v>23</v>
      </c>
      <c r="K1449" s="4" t="s">
        <v>20</v>
      </c>
      <c r="L1449" s="9">
        <v>45327</v>
      </c>
      <c r="M1449" s="9" t="str">
        <f>TEXT(Source_data[[#This Row],[Listing_Date]],"mmm-yy")</f>
        <v>Feb-24</v>
      </c>
      <c r="N1449" s="4">
        <f t="shared" si="22"/>
        <v>10595.060742407199</v>
      </c>
      <c r="O1449" s="3" cm="1">
        <f t="array" ref="O1449">_xlfn.IFS(AND(K1449="Broker",J1449="Resale"),F1449*0.5,AND(K1449="Owner",J1449="Resale"),F1449*0,AND(K1449="Builder",J1449="Resale"),F1449*0.3,AND(J1449="New",K1449="Broker"),F1449*0.1,AND(J1449="New",K1449="Owner"),F1449*0,AND(J1449="New",K1449="Builder"),F1449*0.5)</f>
        <v>4709504.5</v>
      </c>
    </row>
    <row r="1450" spans="1:15" x14ac:dyDescent="0.3">
      <c r="A1450" s="8" t="s">
        <v>1540</v>
      </c>
      <c r="B1450" s="4" t="s">
        <v>1447</v>
      </c>
      <c r="C1450" s="4" t="s">
        <v>1461</v>
      </c>
      <c r="D1450" s="4">
        <v>3</v>
      </c>
      <c r="E1450" s="4">
        <v>848</v>
      </c>
      <c r="F1450" s="4">
        <v>7064728</v>
      </c>
      <c r="G1450" s="4">
        <v>3</v>
      </c>
      <c r="H1450" s="4">
        <v>2</v>
      </c>
      <c r="I1450" s="4" t="s">
        <v>18</v>
      </c>
      <c r="J1450" s="4" t="s">
        <v>19</v>
      </c>
      <c r="K1450" s="4" t="s">
        <v>20</v>
      </c>
      <c r="L1450" s="9">
        <v>45707</v>
      </c>
      <c r="M1450" s="9" t="str">
        <f>TEXT(Source_data[[#This Row],[Listing_Date]],"mmm-yy")</f>
        <v>Feb-25</v>
      </c>
      <c r="N1450" s="4">
        <f t="shared" si="22"/>
        <v>8331.0471698113215</v>
      </c>
      <c r="O1450" s="3" cm="1">
        <f t="array" ref="O1450">_xlfn.IFS(AND(K1450="Broker",J1450="Resale"),F1450*0.5,AND(K1450="Owner",J1450="Resale"),F1450*0,AND(K1450="Builder",J1450="Resale"),F1450*0.3,AND(J1450="New",K1450="Broker"),F1450*0.1,AND(J1450="New",K1450="Owner"),F1450*0,AND(J1450="New",K1450="Builder"),F1450*0.5)</f>
        <v>706472.8</v>
      </c>
    </row>
    <row r="1451" spans="1:15" x14ac:dyDescent="0.3">
      <c r="A1451" s="8" t="s">
        <v>1541</v>
      </c>
      <c r="B1451" s="4" t="s">
        <v>1447</v>
      </c>
      <c r="C1451" s="4" t="s">
        <v>1448</v>
      </c>
      <c r="D1451" s="4">
        <v>2</v>
      </c>
      <c r="E1451" s="4">
        <v>571</v>
      </c>
      <c r="F1451" s="4">
        <v>4900553</v>
      </c>
      <c r="G1451" s="4">
        <v>1</v>
      </c>
      <c r="H1451" s="4">
        <v>0</v>
      </c>
      <c r="I1451" s="4" t="s">
        <v>18</v>
      </c>
      <c r="J1451" s="4" t="s">
        <v>19</v>
      </c>
      <c r="K1451" s="4" t="s">
        <v>24</v>
      </c>
      <c r="L1451" s="9">
        <v>45842</v>
      </c>
      <c r="M1451" s="9" t="str">
        <f>TEXT(Source_data[[#This Row],[Listing_Date]],"mmm-yy")</f>
        <v>Jul-25</v>
      </c>
      <c r="N1451" s="4">
        <f t="shared" si="22"/>
        <v>8582.4045534150609</v>
      </c>
      <c r="O1451" s="3" cm="1">
        <f t="array" ref="O1451">_xlfn.IFS(AND(K1451="Broker",J1451="Resale"),F1451*0.5,AND(K1451="Owner",J1451="Resale"),F1451*0,AND(K1451="Builder",J1451="Resale"),F1451*0.3,AND(J1451="New",K1451="Broker"),F1451*0.1,AND(J1451="New",K1451="Owner"),F1451*0,AND(J1451="New",K1451="Builder"),F1451*0.5)</f>
        <v>2450276.5</v>
      </c>
    </row>
    <row r="1452" spans="1:15" x14ac:dyDescent="0.3">
      <c r="A1452" s="8" t="s">
        <v>1542</v>
      </c>
      <c r="B1452" s="4" t="s">
        <v>1447</v>
      </c>
      <c r="C1452" s="4" t="s">
        <v>1448</v>
      </c>
      <c r="D1452" s="4">
        <v>4</v>
      </c>
      <c r="E1452" s="4">
        <v>1500</v>
      </c>
      <c r="F1452" s="4">
        <v>8858184</v>
      </c>
      <c r="G1452" s="4">
        <v>3</v>
      </c>
      <c r="H1452" s="4">
        <v>1</v>
      </c>
      <c r="I1452" s="4" t="s">
        <v>8</v>
      </c>
      <c r="J1452" s="4" t="s">
        <v>23</v>
      </c>
      <c r="K1452" s="4" t="s">
        <v>24</v>
      </c>
      <c r="L1452" s="9">
        <v>45830</v>
      </c>
      <c r="M1452" s="9" t="str">
        <f>TEXT(Source_data[[#This Row],[Listing_Date]],"mmm-yy")</f>
        <v>Jun-25</v>
      </c>
      <c r="N1452" s="4">
        <f t="shared" si="22"/>
        <v>5905.4560000000001</v>
      </c>
      <c r="O1452" s="3" cm="1">
        <f t="array" ref="O1452">_xlfn.IFS(AND(K1452="Broker",J1452="Resale"),F1452*0.5,AND(K1452="Owner",J1452="Resale"),F1452*0,AND(K1452="Builder",J1452="Resale"),F1452*0.3,AND(J1452="New",K1452="Broker"),F1452*0.1,AND(J1452="New",K1452="Owner"),F1452*0,AND(J1452="New",K1452="Builder"),F1452*0.5)</f>
        <v>2657455.1999999997</v>
      </c>
    </row>
    <row r="1453" spans="1:15" x14ac:dyDescent="0.3">
      <c r="A1453" s="8" t="s">
        <v>1543</v>
      </c>
      <c r="B1453" s="4" t="s">
        <v>1447</v>
      </c>
      <c r="C1453" s="4" t="s">
        <v>1461</v>
      </c>
      <c r="D1453" s="4">
        <v>2</v>
      </c>
      <c r="E1453" s="4">
        <v>528</v>
      </c>
      <c r="F1453" s="4">
        <v>4327105</v>
      </c>
      <c r="G1453" s="4">
        <v>1</v>
      </c>
      <c r="H1453" s="4">
        <v>1</v>
      </c>
      <c r="I1453" s="4" t="s">
        <v>8</v>
      </c>
      <c r="J1453" s="4" t="s">
        <v>19</v>
      </c>
      <c r="K1453" s="4" t="s">
        <v>24</v>
      </c>
      <c r="L1453" s="9">
        <v>45345</v>
      </c>
      <c r="M1453" s="9" t="str">
        <f>TEXT(Source_data[[#This Row],[Listing_Date]],"mmm-yy")</f>
        <v>Feb-24</v>
      </c>
      <c r="N1453" s="4">
        <f t="shared" si="22"/>
        <v>8195.2746212121219</v>
      </c>
      <c r="O1453" s="3" cm="1">
        <f t="array" ref="O1453">_xlfn.IFS(AND(K1453="Broker",J1453="Resale"),F1453*0.5,AND(K1453="Owner",J1453="Resale"),F1453*0,AND(K1453="Builder",J1453="Resale"),F1453*0.3,AND(J1453="New",K1453="Broker"),F1453*0.1,AND(J1453="New",K1453="Owner"),F1453*0,AND(J1453="New",K1453="Builder"),F1453*0.5)</f>
        <v>2163552.5</v>
      </c>
    </row>
    <row r="1454" spans="1:15" x14ac:dyDescent="0.3">
      <c r="A1454" s="8" t="s">
        <v>1544</v>
      </c>
      <c r="B1454" s="4" t="s">
        <v>1447</v>
      </c>
      <c r="C1454" s="4" t="s">
        <v>1475</v>
      </c>
      <c r="D1454" s="4">
        <v>3</v>
      </c>
      <c r="E1454" s="4">
        <v>1551</v>
      </c>
      <c r="F1454" s="4">
        <v>15876218</v>
      </c>
      <c r="G1454" s="4">
        <v>2</v>
      </c>
      <c r="H1454" s="4">
        <v>0</v>
      </c>
      <c r="I1454" s="4" t="s">
        <v>8</v>
      </c>
      <c r="J1454" s="4" t="s">
        <v>19</v>
      </c>
      <c r="K1454" s="4" t="s">
        <v>36</v>
      </c>
      <c r="L1454" s="9">
        <v>45883</v>
      </c>
      <c r="M1454" s="9" t="str">
        <f>TEXT(Source_data[[#This Row],[Listing_Date]],"mmm-yy")</f>
        <v>Aug-25</v>
      </c>
      <c r="N1454" s="4">
        <f t="shared" si="22"/>
        <v>10236.117343649259</v>
      </c>
      <c r="O1454" s="3" cm="1">
        <f t="array" ref="O1454">_xlfn.IFS(AND(K1454="Broker",J1454="Resale"),F1454*0.5,AND(K1454="Owner",J1454="Resale"),F1454*0,AND(K1454="Builder",J1454="Resale"),F1454*0.3,AND(J1454="New",K1454="Broker"),F1454*0.1,AND(J1454="New",K1454="Owner"),F1454*0,AND(J1454="New",K1454="Builder"),F1454*0.5)</f>
        <v>0</v>
      </c>
    </row>
    <row r="1455" spans="1:15" x14ac:dyDescent="0.3">
      <c r="A1455" s="8" t="s">
        <v>1545</v>
      </c>
      <c r="B1455" s="4" t="s">
        <v>1447</v>
      </c>
      <c r="C1455" s="4" t="s">
        <v>1463</v>
      </c>
      <c r="D1455" s="4">
        <v>4</v>
      </c>
      <c r="E1455" s="4">
        <v>1878</v>
      </c>
      <c r="F1455" s="4">
        <v>21558824</v>
      </c>
      <c r="G1455" s="4">
        <v>3</v>
      </c>
      <c r="H1455" s="4">
        <v>1</v>
      </c>
      <c r="I1455" s="4" t="s">
        <v>18</v>
      </c>
      <c r="J1455" s="4" t="s">
        <v>23</v>
      </c>
      <c r="K1455" s="4" t="s">
        <v>24</v>
      </c>
      <c r="L1455" s="9">
        <v>45828</v>
      </c>
      <c r="M1455" s="9" t="str">
        <f>TEXT(Source_data[[#This Row],[Listing_Date]],"mmm-yy")</f>
        <v>Jun-25</v>
      </c>
      <c r="N1455" s="4">
        <f t="shared" si="22"/>
        <v>11479.671991480298</v>
      </c>
      <c r="O1455" s="3" cm="1">
        <f t="array" ref="O1455">_xlfn.IFS(AND(K1455="Broker",J1455="Resale"),F1455*0.5,AND(K1455="Owner",J1455="Resale"),F1455*0,AND(K1455="Builder",J1455="Resale"),F1455*0.3,AND(J1455="New",K1455="Broker"),F1455*0.1,AND(J1455="New",K1455="Owner"),F1455*0,AND(J1455="New",K1455="Builder"),F1455*0.5)</f>
        <v>6467647.2000000002</v>
      </c>
    </row>
    <row r="1456" spans="1:15" x14ac:dyDescent="0.3">
      <c r="A1456" s="8" t="s">
        <v>1546</v>
      </c>
      <c r="B1456" s="4" t="s">
        <v>1447</v>
      </c>
      <c r="C1456" s="4" t="s">
        <v>1461</v>
      </c>
      <c r="D1456" s="4">
        <v>3</v>
      </c>
      <c r="E1456" s="4">
        <v>1150</v>
      </c>
      <c r="F1456" s="4">
        <v>9081811</v>
      </c>
      <c r="G1456" s="4">
        <v>3</v>
      </c>
      <c r="H1456" s="4">
        <v>2</v>
      </c>
      <c r="I1456" s="4" t="s">
        <v>8</v>
      </c>
      <c r="J1456" s="4" t="s">
        <v>23</v>
      </c>
      <c r="K1456" s="4" t="s">
        <v>24</v>
      </c>
      <c r="L1456" s="9">
        <v>45318</v>
      </c>
      <c r="M1456" s="9" t="str">
        <f>TEXT(Source_data[[#This Row],[Listing_Date]],"mmm-yy")</f>
        <v>Jan-24</v>
      </c>
      <c r="N1456" s="4">
        <f t="shared" si="22"/>
        <v>7897.2269565217393</v>
      </c>
      <c r="O1456" s="3" cm="1">
        <f t="array" ref="O1456">_xlfn.IFS(AND(K1456="Broker",J1456="Resale"),F1456*0.5,AND(K1456="Owner",J1456="Resale"),F1456*0,AND(K1456="Builder",J1456="Resale"),F1456*0.3,AND(J1456="New",K1456="Broker"),F1456*0.1,AND(J1456="New",K1456="Owner"),F1456*0,AND(J1456="New",K1456="Builder"),F1456*0.5)</f>
        <v>2724543.3</v>
      </c>
    </row>
    <row r="1457" spans="1:15" x14ac:dyDescent="0.3">
      <c r="A1457" s="8" t="s">
        <v>1547</v>
      </c>
      <c r="B1457" s="4" t="s">
        <v>1447</v>
      </c>
      <c r="C1457" s="4" t="s">
        <v>1453</v>
      </c>
      <c r="D1457" s="4">
        <v>4</v>
      </c>
      <c r="E1457" s="4">
        <v>2522</v>
      </c>
      <c r="F1457" s="4">
        <v>19965646</v>
      </c>
      <c r="G1457" s="4">
        <v>4</v>
      </c>
      <c r="H1457" s="4">
        <v>0</v>
      </c>
      <c r="I1457" s="4" t="s">
        <v>18</v>
      </c>
      <c r="J1457" s="4" t="s">
        <v>23</v>
      </c>
      <c r="K1457" s="4" t="s">
        <v>20</v>
      </c>
      <c r="L1457" s="9">
        <v>45098</v>
      </c>
      <c r="M1457" s="9" t="str">
        <f>TEXT(Source_data[[#This Row],[Listing_Date]],"mmm-yy")</f>
        <v>Jun-23</v>
      </c>
      <c r="N1457" s="4">
        <f t="shared" si="22"/>
        <v>7916.592386994449</v>
      </c>
      <c r="O1457" s="3" cm="1">
        <f t="array" ref="O1457">_xlfn.IFS(AND(K1457="Broker",J1457="Resale"),F1457*0.5,AND(K1457="Owner",J1457="Resale"),F1457*0,AND(K1457="Builder",J1457="Resale"),F1457*0.3,AND(J1457="New",K1457="Broker"),F1457*0.1,AND(J1457="New",K1457="Owner"),F1457*0,AND(J1457="New",K1457="Builder"),F1457*0.5)</f>
        <v>9982823</v>
      </c>
    </row>
    <row r="1458" spans="1:15" x14ac:dyDescent="0.3">
      <c r="A1458" s="8" t="s">
        <v>1548</v>
      </c>
      <c r="B1458" s="4" t="s">
        <v>1447</v>
      </c>
      <c r="C1458" s="4" t="s">
        <v>1451</v>
      </c>
      <c r="D1458" s="4">
        <v>4</v>
      </c>
      <c r="E1458" s="4">
        <v>788</v>
      </c>
      <c r="F1458" s="4">
        <v>7574217</v>
      </c>
      <c r="G1458" s="4">
        <v>2</v>
      </c>
      <c r="H1458" s="4">
        <v>0</v>
      </c>
      <c r="I1458" s="4" t="s">
        <v>27</v>
      </c>
      <c r="J1458" s="4" t="s">
        <v>19</v>
      </c>
      <c r="K1458" s="4" t="s">
        <v>24</v>
      </c>
      <c r="L1458" s="9">
        <v>45061</v>
      </c>
      <c r="M1458" s="9" t="str">
        <f>TEXT(Source_data[[#This Row],[Listing_Date]],"mmm-yy")</f>
        <v>May-23</v>
      </c>
      <c r="N1458" s="4">
        <f t="shared" si="22"/>
        <v>9611.9505076142141</v>
      </c>
      <c r="O1458" s="3" cm="1">
        <f t="array" ref="O1458">_xlfn.IFS(AND(K1458="Broker",J1458="Resale"),F1458*0.5,AND(K1458="Owner",J1458="Resale"),F1458*0,AND(K1458="Builder",J1458="Resale"),F1458*0.3,AND(J1458="New",K1458="Broker"),F1458*0.1,AND(J1458="New",K1458="Owner"),F1458*0,AND(J1458="New",K1458="Builder"),F1458*0.5)</f>
        <v>3787108.5</v>
      </c>
    </row>
    <row r="1459" spans="1:15" x14ac:dyDescent="0.3">
      <c r="A1459" s="8" t="s">
        <v>1549</v>
      </c>
      <c r="B1459" s="4" t="s">
        <v>1447</v>
      </c>
      <c r="C1459" s="4" t="s">
        <v>1451</v>
      </c>
      <c r="D1459" s="4">
        <v>4</v>
      </c>
      <c r="E1459" s="4">
        <v>1956</v>
      </c>
      <c r="F1459" s="4">
        <v>16633605</v>
      </c>
      <c r="G1459" s="4">
        <v>4</v>
      </c>
      <c r="H1459" s="4">
        <v>2</v>
      </c>
      <c r="I1459" s="4" t="s">
        <v>27</v>
      </c>
      <c r="J1459" s="4" t="s">
        <v>23</v>
      </c>
      <c r="K1459" s="4" t="s">
        <v>36</v>
      </c>
      <c r="L1459" s="9">
        <v>45198</v>
      </c>
      <c r="M1459" s="9" t="str">
        <f>TEXT(Source_data[[#This Row],[Listing_Date]],"mmm-yy")</f>
        <v>Sep-23</v>
      </c>
      <c r="N1459" s="4">
        <f t="shared" si="22"/>
        <v>8503.8880368098162</v>
      </c>
      <c r="O1459" s="3" cm="1">
        <f t="array" ref="O1459">_xlfn.IFS(AND(K1459="Broker",J1459="Resale"),F1459*0.5,AND(K1459="Owner",J1459="Resale"),F1459*0,AND(K1459="Builder",J1459="Resale"),F1459*0.3,AND(J1459="New",K1459="Broker"),F1459*0.1,AND(J1459="New",K1459="Owner"),F1459*0,AND(J1459="New",K1459="Builder"),F1459*0.5)</f>
        <v>0</v>
      </c>
    </row>
    <row r="1460" spans="1:15" x14ac:dyDescent="0.3">
      <c r="A1460" s="8" t="s">
        <v>1550</v>
      </c>
      <c r="B1460" s="4" t="s">
        <v>1447</v>
      </c>
      <c r="C1460" s="4" t="s">
        <v>1453</v>
      </c>
      <c r="D1460" s="4">
        <v>2</v>
      </c>
      <c r="E1460" s="4">
        <v>1017</v>
      </c>
      <c r="F1460" s="4">
        <v>23679735</v>
      </c>
      <c r="G1460" s="4">
        <v>2</v>
      </c>
      <c r="H1460" s="4">
        <v>2</v>
      </c>
      <c r="I1460" s="4" t="s">
        <v>8</v>
      </c>
      <c r="J1460" s="4" t="s">
        <v>19</v>
      </c>
      <c r="K1460" s="4" t="s">
        <v>36</v>
      </c>
      <c r="L1460" s="9">
        <v>45881</v>
      </c>
      <c r="M1460" s="9" t="str">
        <f>TEXT(Source_data[[#This Row],[Listing_Date]],"mmm-yy")</f>
        <v>Aug-25</v>
      </c>
      <c r="N1460" s="4">
        <f t="shared" si="22"/>
        <v>23283.90855457227</v>
      </c>
      <c r="O1460" s="3" cm="1">
        <f t="array" ref="O1460">_xlfn.IFS(AND(K1460="Broker",J1460="Resale"),F1460*0.5,AND(K1460="Owner",J1460="Resale"),F1460*0,AND(K1460="Builder",J1460="Resale"),F1460*0.3,AND(J1460="New",K1460="Broker"),F1460*0.1,AND(J1460="New",K1460="Owner"),F1460*0,AND(J1460="New",K1460="Builder"),F1460*0.5)</f>
        <v>0</v>
      </c>
    </row>
    <row r="1461" spans="1:15" x14ac:dyDescent="0.3">
      <c r="A1461" s="8" t="s">
        <v>1551</v>
      </c>
      <c r="B1461" s="4" t="s">
        <v>1447</v>
      </c>
      <c r="C1461" s="4" t="s">
        <v>1453</v>
      </c>
      <c r="D1461" s="4">
        <v>3</v>
      </c>
      <c r="E1461" s="4">
        <v>1301</v>
      </c>
      <c r="F1461" s="4">
        <v>9981302</v>
      </c>
      <c r="G1461" s="4">
        <v>2</v>
      </c>
      <c r="H1461" s="4">
        <v>2</v>
      </c>
      <c r="I1461" s="4" t="s">
        <v>27</v>
      </c>
      <c r="J1461" s="4" t="s">
        <v>19</v>
      </c>
      <c r="K1461" s="4" t="s">
        <v>36</v>
      </c>
      <c r="L1461" s="9">
        <v>44951</v>
      </c>
      <c r="M1461" s="9" t="str">
        <f>TEXT(Source_data[[#This Row],[Listing_Date]],"mmm-yy")</f>
        <v>Jan-23</v>
      </c>
      <c r="N1461" s="4">
        <f t="shared" si="22"/>
        <v>7672.0230591852423</v>
      </c>
      <c r="O1461" s="3" cm="1">
        <f t="array" ref="O1461">_xlfn.IFS(AND(K1461="Broker",J1461="Resale"),F1461*0.5,AND(K1461="Owner",J1461="Resale"),F1461*0,AND(K1461="Builder",J1461="Resale"),F1461*0.3,AND(J1461="New",K1461="Broker"),F1461*0.1,AND(J1461="New",K1461="Owner"),F1461*0,AND(J1461="New",K1461="Builder"),F1461*0.5)</f>
        <v>0</v>
      </c>
    </row>
    <row r="1462" spans="1:15" x14ac:dyDescent="0.3">
      <c r="A1462" s="8" t="s">
        <v>1552</v>
      </c>
      <c r="B1462" s="4" t="s">
        <v>1447</v>
      </c>
      <c r="C1462" s="4" t="s">
        <v>1448</v>
      </c>
      <c r="D1462" s="4">
        <v>2</v>
      </c>
      <c r="E1462" s="4">
        <v>834</v>
      </c>
      <c r="F1462" s="4">
        <v>8572136</v>
      </c>
      <c r="G1462" s="4">
        <v>2</v>
      </c>
      <c r="H1462" s="4">
        <v>2</v>
      </c>
      <c r="I1462" s="4" t="s">
        <v>8</v>
      </c>
      <c r="J1462" s="4" t="s">
        <v>19</v>
      </c>
      <c r="K1462" s="4" t="s">
        <v>24</v>
      </c>
      <c r="L1462" s="9">
        <v>45179</v>
      </c>
      <c r="M1462" s="9" t="str">
        <f>TEXT(Source_data[[#This Row],[Listing_Date]],"mmm-yy")</f>
        <v>Sep-23</v>
      </c>
      <c r="N1462" s="4">
        <f t="shared" si="22"/>
        <v>10278.340527577937</v>
      </c>
      <c r="O1462" s="3" cm="1">
        <f t="array" ref="O1462">_xlfn.IFS(AND(K1462="Broker",J1462="Resale"),F1462*0.5,AND(K1462="Owner",J1462="Resale"),F1462*0,AND(K1462="Builder",J1462="Resale"),F1462*0.3,AND(J1462="New",K1462="Broker"),F1462*0.1,AND(J1462="New",K1462="Owner"),F1462*0,AND(J1462="New",K1462="Builder"),F1462*0.5)</f>
        <v>4286068</v>
      </c>
    </row>
    <row r="1463" spans="1:15" x14ac:dyDescent="0.3">
      <c r="A1463" s="8" t="s">
        <v>1553</v>
      </c>
      <c r="B1463" s="4" t="s">
        <v>1447</v>
      </c>
      <c r="C1463" s="4" t="s">
        <v>1475</v>
      </c>
      <c r="D1463" s="4">
        <v>3</v>
      </c>
      <c r="E1463" s="4">
        <v>1500</v>
      </c>
      <c r="F1463" s="4">
        <v>13326791</v>
      </c>
      <c r="G1463" s="4">
        <v>2</v>
      </c>
      <c r="H1463" s="4">
        <v>2</v>
      </c>
      <c r="I1463" s="4" t="s">
        <v>8</v>
      </c>
      <c r="J1463" s="4" t="s">
        <v>19</v>
      </c>
      <c r="K1463" s="4" t="s">
        <v>20</v>
      </c>
      <c r="L1463" s="9">
        <v>45318</v>
      </c>
      <c r="M1463" s="9" t="str">
        <f>TEXT(Source_data[[#This Row],[Listing_Date]],"mmm-yy")</f>
        <v>Jan-24</v>
      </c>
      <c r="N1463" s="4">
        <f t="shared" si="22"/>
        <v>8884.5273333333334</v>
      </c>
      <c r="O1463" s="3" cm="1">
        <f t="array" ref="O1463">_xlfn.IFS(AND(K1463="Broker",J1463="Resale"),F1463*0.5,AND(K1463="Owner",J1463="Resale"),F1463*0,AND(K1463="Builder",J1463="Resale"),F1463*0.3,AND(J1463="New",K1463="Broker"),F1463*0.1,AND(J1463="New",K1463="Owner"),F1463*0,AND(J1463="New",K1463="Builder"),F1463*0.5)</f>
        <v>1332679.1000000001</v>
      </c>
    </row>
    <row r="1464" spans="1:15" x14ac:dyDescent="0.3">
      <c r="A1464" s="8" t="s">
        <v>1554</v>
      </c>
      <c r="B1464" s="4" t="s">
        <v>1447</v>
      </c>
      <c r="C1464" s="4" t="s">
        <v>1453</v>
      </c>
      <c r="D1464" s="4">
        <v>3</v>
      </c>
      <c r="E1464" s="4">
        <v>489</v>
      </c>
      <c r="F1464" s="4">
        <v>3429776</v>
      </c>
      <c r="G1464" s="4">
        <v>2</v>
      </c>
      <c r="H1464" s="4">
        <v>2</v>
      </c>
      <c r="I1464" s="4" t="s">
        <v>27</v>
      </c>
      <c r="J1464" s="4" t="s">
        <v>23</v>
      </c>
      <c r="K1464" s="4" t="s">
        <v>36</v>
      </c>
      <c r="L1464" s="9">
        <v>45109</v>
      </c>
      <c r="M1464" s="9" t="str">
        <f>TEXT(Source_data[[#This Row],[Listing_Date]],"mmm-yy")</f>
        <v>Jul-23</v>
      </c>
      <c r="N1464" s="4">
        <f t="shared" si="22"/>
        <v>7013.8568507157461</v>
      </c>
      <c r="O1464" s="3" cm="1">
        <f t="array" ref="O1464">_xlfn.IFS(AND(K1464="Broker",J1464="Resale"),F1464*0.5,AND(K1464="Owner",J1464="Resale"),F1464*0,AND(K1464="Builder",J1464="Resale"),F1464*0.3,AND(J1464="New",K1464="Broker"),F1464*0.1,AND(J1464="New",K1464="Owner"),F1464*0,AND(J1464="New",K1464="Builder"),F1464*0.5)</f>
        <v>0</v>
      </c>
    </row>
    <row r="1465" spans="1:15" x14ac:dyDescent="0.3">
      <c r="A1465" s="8" t="s">
        <v>1555</v>
      </c>
      <c r="B1465" s="4" t="s">
        <v>1447</v>
      </c>
      <c r="C1465" s="4" t="s">
        <v>1448</v>
      </c>
      <c r="D1465" s="4">
        <v>2</v>
      </c>
      <c r="E1465" s="4">
        <v>1402</v>
      </c>
      <c r="F1465" s="4">
        <v>14761644</v>
      </c>
      <c r="G1465" s="4">
        <v>2</v>
      </c>
      <c r="H1465" s="4">
        <v>2</v>
      </c>
      <c r="I1465" s="4" t="s">
        <v>18</v>
      </c>
      <c r="J1465" s="4" t="s">
        <v>19</v>
      </c>
      <c r="K1465" s="4" t="s">
        <v>36</v>
      </c>
      <c r="L1465" s="9">
        <v>45223</v>
      </c>
      <c r="M1465" s="9" t="str">
        <f>TEXT(Source_data[[#This Row],[Listing_Date]],"mmm-yy")</f>
        <v>Oct-23</v>
      </c>
      <c r="N1465" s="4">
        <f t="shared" si="22"/>
        <v>10528.990014265335</v>
      </c>
      <c r="O1465" s="3" cm="1">
        <f t="array" ref="O1465">_xlfn.IFS(AND(K1465="Broker",J1465="Resale"),F1465*0.5,AND(K1465="Owner",J1465="Resale"),F1465*0,AND(K1465="Builder",J1465="Resale"),F1465*0.3,AND(J1465="New",K1465="Broker"),F1465*0.1,AND(J1465="New",K1465="Owner"),F1465*0,AND(J1465="New",K1465="Builder"),F1465*0.5)</f>
        <v>0</v>
      </c>
    </row>
    <row r="1466" spans="1:15" x14ac:dyDescent="0.3">
      <c r="A1466" s="8" t="s">
        <v>1556</v>
      </c>
      <c r="B1466" s="4" t="s">
        <v>1447</v>
      </c>
      <c r="C1466" s="4" t="s">
        <v>1448</v>
      </c>
      <c r="D1466" s="4">
        <v>2</v>
      </c>
      <c r="E1466" s="4">
        <v>1214</v>
      </c>
      <c r="F1466" s="4">
        <v>7426389</v>
      </c>
      <c r="G1466" s="4">
        <v>2</v>
      </c>
      <c r="H1466" s="4">
        <v>1</v>
      </c>
      <c r="I1466" s="4" t="s">
        <v>27</v>
      </c>
      <c r="J1466" s="4" t="s">
        <v>19</v>
      </c>
      <c r="K1466" s="4" t="s">
        <v>36</v>
      </c>
      <c r="L1466" s="9">
        <v>45172</v>
      </c>
      <c r="M1466" s="9" t="str">
        <f>TEXT(Source_data[[#This Row],[Listing_Date]],"mmm-yy")</f>
        <v>Sep-23</v>
      </c>
      <c r="N1466" s="4">
        <f t="shared" si="22"/>
        <v>6117.2891268533776</v>
      </c>
      <c r="O1466" s="3" cm="1">
        <f t="array" ref="O1466">_xlfn.IFS(AND(K1466="Broker",J1466="Resale"),F1466*0.5,AND(K1466="Owner",J1466="Resale"),F1466*0,AND(K1466="Builder",J1466="Resale"),F1466*0.3,AND(J1466="New",K1466="Broker"),F1466*0.1,AND(J1466="New",K1466="Owner"),F1466*0,AND(J1466="New",K1466="Builder"),F1466*0.5)</f>
        <v>0</v>
      </c>
    </row>
    <row r="1467" spans="1:15" x14ac:dyDescent="0.3">
      <c r="A1467" s="8" t="s">
        <v>1557</v>
      </c>
      <c r="B1467" s="4" t="s">
        <v>1447</v>
      </c>
      <c r="C1467" s="4" t="s">
        <v>1451</v>
      </c>
      <c r="D1467" s="4">
        <v>3</v>
      </c>
      <c r="E1467" s="4">
        <v>1173</v>
      </c>
      <c r="F1467" s="4">
        <v>13976996</v>
      </c>
      <c r="G1467" s="4">
        <v>2</v>
      </c>
      <c r="H1467" s="4">
        <v>1</v>
      </c>
      <c r="I1467" s="4" t="s">
        <v>18</v>
      </c>
      <c r="J1467" s="4" t="s">
        <v>19</v>
      </c>
      <c r="K1467" s="4" t="s">
        <v>20</v>
      </c>
      <c r="L1467" s="9">
        <v>45896</v>
      </c>
      <c r="M1467" s="9" t="str">
        <f>TEXT(Source_data[[#This Row],[Listing_Date]],"mmm-yy")</f>
        <v>Aug-25</v>
      </c>
      <c r="N1467" s="4">
        <f t="shared" si="22"/>
        <v>11915.597612958227</v>
      </c>
      <c r="O1467" s="3" cm="1">
        <f t="array" ref="O1467">_xlfn.IFS(AND(K1467="Broker",J1467="Resale"),F1467*0.5,AND(K1467="Owner",J1467="Resale"),F1467*0,AND(K1467="Builder",J1467="Resale"),F1467*0.3,AND(J1467="New",K1467="Broker"),F1467*0.1,AND(J1467="New",K1467="Owner"),F1467*0,AND(J1467="New",K1467="Builder"),F1467*0.5)</f>
        <v>1397699.6</v>
      </c>
    </row>
    <row r="1468" spans="1:15" x14ac:dyDescent="0.3">
      <c r="A1468" s="8" t="s">
        <v>1558</v>
      </c>
      <c r="B1468" s="4" t="s">
        <v>1447</v>
      </c>
      <c r="C1468" s="4" t="s">
        <v>1453</v>
      </c>
      <c r="D1468" s="4">
        <v>4</v>
      </c>
      <c r="E1468" s="4">
        <v>1721</v>
      </c>
      <c r="F1468" s="4">
        <v>15863588</v>
      </c>
      <c r="G1468" s="4">
        <v>3</v>
      </c>
      <c r="H1468" s="4">
        <v>1</v>
      </c>
      <c r="I1468" s="4" t="s">
        <v>27</v>
      </c>
      <c r="J1468" s="4" t="s">
        <v>23</v>
      </c>
      <c r="K1468" s="4" t="s">
        <v>20</v>
      </c>
      <c r="L1468" s="9">
        <v>45560</v>
      </c>
      <c r="M1468" s="9" t="str">
        <f>TEXT(Source_data[[#This Row],[Listing_Date]],"mmm-yy")</f>
        <v>Sep-24</v>
      </c>
      <c r="N1468" s="4">
        <f t="shared" si="22"/>
        <v>9217.6571760604293</v>
      </c>
      <c r="O1468" s="3" cm="1">
        <f t="array" ref="O1468">_xlfn.IFS(AND(K1468="Broker",J1468="Resale"),F1468*0.5,AND(K1468="Owner",J1468="Resale"),F1468*0,AND(K1468="Builder",J1468="Resale"),F1468*0.3,AND(J1468="New",K1468="Broker"),F1468*0.1,AND(J1468="New",K1468="Owner"),F1468*0,AND(J1468="New",K1468="Builder"),F1468*0.5)</f>
        <v>7931794</v>
      </c>
    </row>
    <row r="1469" spans="1:15" x14ac:dyDescent="0.3">
      <c r="A1469" s="8" t="s">
        <v>1559</v>
      </c>
      <c r="B1469" s="4" t="s">
        <v>1447</v>
      </c>
      <c r="C1469" s="4" t="s">
        <v>1448</v>
      </c>
      <c r="D1469" s="4">
        <v>3</v>
      </c>
      <c r="E1469" s="4">
        <v>1204</v>
      </c>
      <c r="F1469" s="4">
        <v>12066956</v>
      </c>
      <c r="G1469" s="4">
        <v>2</v>
      </c>
      <c r="H1469" s="4">
        <v>2</v>
      </c>
      <c r="I1469" s="4" t="s">
        <v>8</v>
      </c>
      <c r="J1469" s="4" t="s">
        <v>19</v>
      </c>
      <c r="K1469" s="4" t="s">
        <v>24</v>
      </c>
      <c r="L1469" s="9">
        <v>45675</v>
      </c>
      <c r="M1469" s="9" t="str">
        <f>TEXT(Source_data[[#This Row],[Listing_Date]],"mmm-yy")</f>
        <v>Jan-25</v>
      </c>
      <c r="N1469" s="4">
        <f t="shared" si="22"/>
        <v>10022.388704318937</v>
      </c>
      <c r="O1469" s="3" cm="1">
        <f t="array" ref="O1469">_xlfn.IFS(AND(K1469="Broker",J1469="Resale"),F1469*0.5,AND(K1469="Owner",J1469="Resale"),F1469*0,AND(K1469="Builder",J1469="Resale"),F1469*0.3,AND(J1469="New",K1469="Broker"),F1469*0.1,AND(J1469="New",K1469="Owner"),F1469*0,AND(J1469="New",K1469="Builder"),F1469*0.5)</f>
        <v>6033478</v>
      </c>
    </row>
    <row r="1470" spans="1:15" x14ac:dyDescent="0.3">
      <c r="A1470" s="8" t="s">
        <v>1560</v>
      </c>
      <c r="B1470" s="4" t="s">
        <v>1447</v>
      </c>
      <c r="C1470" s="4" t="s">
        <v>1463</v>
      </c>
      <c r="D1470" s="4">
        <v>3</v>
      </c>
      <c r="E1470" s="4">
        <v>1225</v>
      </c>
      <c r="F1470" s="4">
        <v>10079997</v>
      </c>
      <c r="G1470" s="4">
        <v>4</v>
      </c>
      <c r="H1470" s="4">
        <v>1</v>
      </c>
      <c r="I1470" s="4" t="s">
        <v>27</v>
      </c>
      <c r="J1470" s="4" t="s">
        <v>19</v>
      </c>
      <c r="K1470" s="4" t="s">
        <v>36</v>
      </c>
      <c r="L1470" s="9">
        <v>45889</v>
      </c>
      <c r="M1470" s="9" t="str">
        <f>TEXT(Source_data[[#This Row],[Listing_Date]],"mmm-yy")</f>
        <v>Aug-25</v>
      </c>
      <c r="N1470" s="4">
        <f t="shared" si="22"/>
        <v>8228.568979591837</v>
      </c>
      <c r="O1470" s="3" cm="1">
        <f t="array" ref="O1470">_xlfn.IFS(AND(K1470="Broker",J1470="Resale"),F1470*0.5,AND(K1470="Owner",J1470="Resale"),F1470*0,AND(K1470="Builder",J1470="Resale"),F1470*0.3,AND(J1470="New",K1470="Broker"),F1470*0.1,AND(J1470="New",K1470="Owner"),F1470*0,AND(J1470="New",K1470="Builder"),F1470*0.5)</f>
        <v>0</v>
      </c>
    </row>
    <row r="1471" spans="1:15" x14ac:dyDescent="0.3">
      <c r="A1471" s="8" t="s">
        <v>1561</v>
      </c>
      <c r="B1471" s="4" t="s">
        <v>1447</v>
      </c>
      <c r="C1471" s="4" t="s">
        <v>1461</v>
      </c>
      <c r="D1471" s="4">
        <v>4</v>
      </c>
      <c r="E1471" s="4">
        <v>2255</v>
      </c>
      <c r="F1471" s="4">
        <v>19486096</v>
      </c>
      <c r="G1471" s="4">
        <v>2</v>
      </c>
      <c r="H1471" s="4">
        <v>2</v>
      </c>
      <c r="I1471" s="4" t="s">
        <v>27</v>
      </c>
      <c r="J1471" s="4" t="s">
        <v>19</v>
      </c>
      <c r="K1471" s="4" t="s">
        <v>24</v>
      </c>
      <c r="L1471" s="9">
        <v>45076</v>
      </c>
      <c r="M1471" s="9" t="str">
        <f>TEXT(Source_data[[#This Row],[Listing_Date]],"mmm-yy")</f>
        <v>May-23</v>
      </c>
      <c r="N1471" s="4">
        <f t="shared" si="22"/>
        <v>8641.2842572062091</v>
      </c>
      <c r="O1471" s="3" cm="1">
        <f t="array" ref="O1471">_xlfn.IFS(AND(K1471="Broker",J1471="Resale"),F1471*0.5,AND(K1471="Owner",J1471="Resale"),F1471*0,AND(K1471="Builder",J1471="Resale"),F1471*0.3,AND(J1471="New",K1471="Broker"),F1471*0.1,AND(J1471="New",K1471="Owner"),F1471*0,AND(J1471="New",K1471="Builder"),F1471*0.5)</f>
        <v>9743048</v>
      </c>
    </row>
    <row r="1472" spans="1:15" x14ac:dyDescent="0.3">
      <c r="A1472" s="8" t="s">
        <v>1562</v>
      </c>
      <c r="B1472" s="4" t="s">
        <v>1447</v>
      </c>
      <c r="C1472" s="4" t="s">
        <v>1451</v>
      </c>
      <c r="D1472" s="4">
        <v>2</v>
      </c>
      <c r="E1472" s="4">
        <v>977</v>
      </c>
      <c r="F1472" s="4">
        <v>7547779</v>
      </c>
      <c r="G1472" s="4">
        <v>2</v>
      </c>
      <c r="H1472" s="4">
        <v>4</v>
      </c>
      <c r="I1472" s="4" t="s">
        <v>8</v>
      </c>
      <c r="J1472" s="4" t="s">
        <v>23</v>
      </c>
      <c r="K1472" s="4" t="s">
        <v>24</v>
      </c>
      <c r="L1472" s="9">
        <v>45420</v>
      </c>
      <c r="M1472" s="9" t="str">
        <f>TEXT(Source_data[[#This Row],[Listing_Date]],"mmm-yy")</f>
        <v>May-24</v>
      </c>
      <c r="N1472" s="4">
        <f t="shared" si="22"/>
        <v>7725.4646878198564</v>
      </c>
      <c r="O1472" s="3" cm="1">
        <f t="array" ref="O1472">_xlfn.IFS(AND(K1472="Broker",J1472="Resale"),F1472*0.5,AND(K1472="Owner",J1472="Resale"),F1472*0,AND(K1472="Builder",J1472="Resale"),F1472*0.3,AND(J1472="New",K1472="Broker"),F1472*0.1,AND(J1472="New",K1472="Owner"),F1472*0,AND(J1472="New",K1472="Builder"),F1472*0.5)</f>
        <v>2264333.6999999997</v>
      </c>
    </row>
    <row r="1473" spans="1:15" x14ac:dyDescent="0.3">
      <c r="A1473" s="8" t="s">
        <v>1563</v>
      </c>
      <c r="B1473" s="4" t="s">
        <v>1447</v>
      </c>
      <c r="C1473" s="4" t="s">
        <v>1448</v>
      </c>
      <c r="D1473" s="4">
        <v>4</v>
      </c>
      <c r="E1473" s="4">
        <v>2313</v>
      </c>
      <c r="F1473" s="4">
        <v>22234259</v>
      </c>
      <c r="G1473" s="4">
        <v>3</v>
      </c>
      <c r="H1473" s="4">
        <v>1</v>
      </c>
      <c r="I1473" s="4" t="s">
        <v>18</v>
      </c>
      <c r="J1473" s="4" t="s">
        <v>19</v>
      </c>
      <c r="K1473" s="4" t="s">
        <v>24</v>
      </c>
      <c r="L1473" s="9">
        <v>45541</v>
      </c>
      <c r="M1473" s="9" t="str">
        <f>TEXT(Source_data[[#This Row],[Listing_Date]],"mmm-yy")</f>
        <v>Sep-24</v>
      </c>
      <c r="N1473" s="4">
        <f t="shared" si="22"/>
        <v>9612.7362732382189</v>
      </c>
      <c r="O1473" s="3" cm="1">
        <f t="array" ref="O1473">_xlfn.IFS(AND(K1473="Broker",J1473="Resale"),F1473*0.5,AND(K1473="Owner",J1473="Resale"),F1473*0,AND(K1473="Builder",J1473="Resale"),F1473*0.3,AND(J1473="New",K1473="Broker"),F1473*0.1,AND(J1473="New",K1473="Owner"),F1473*0,AND(J1473="New",K1473="Builder"),F1473*0.5)</f>
        <v>11117129.5</v>
      </c>
    </row>
    <row r="1474" spans="1:15" x14ac:dyDescent="0.3">
      <c r="A1474" s="8" t="s">
        <v>1564</v>
      </c>
      <c r="B1474" s="4" t="s">
        <v>1447</v>
      </c>
      <c r="C1474" s="4" t="s">
        <v>1451</v>
      </c>
      <c r="D1474" s="4">
        <v>4</v>
      </c>
      <c r="E1474" s="4">
        <v>1471</v>
      </c>
      <c r="F1474" s="4">
        <v>10757180</v>
      </c>
      <c r="G1474" s="4">
        <v>3</v>
      </c>
      <c r="H1474" s="4">
        <v>2</v>
      </c>
      <c r="I1474" s="4" t="s">
        <v>8</v>
      </c>
      <c r="J1474" s="4" t="s">
        <v>23</v>
      </c>
      <c r="K1474" s="4" t="s">
        <v>20</v>
      </c>
      <c r="L1474" s="9">
        <v>45348</v>
      </c>
      <c r="M1474" s="9" t="str">
        <f>TEXT(Source_data[[#This Row],[Listing_Date]],"mmm-yy")</f>
        <v>Feb-24</v>
      </c>
      <c r="N1474" s="4">
        <f t="shared" si="22"/>
        <v>7312.8348062542491</v>
      </c>
      <c r="O1474" s="3" cm="1">
        <f t="array" ref="O1474">_xlfn.IFS(AND(K1474="Broker",J1474="Resale"),F1474*0.5,AND(K1474="Owner",J1474="Resale"),F1474*0,AND(K1474="Builder",J1474="Resale"),F1474*0.3,AND(J1474="New",K1474="Broker"),F1474*0.1,AND(J1474="New",K1474="Owner"),F1474*0,AND(J1474="New",K1474="Builder"),F1474*0.5)</f>
        <v>5378590</v>
      </c>
    </row>
    <row r="1475" spans="1:15" x14ac:dyDescent="0.3">
      <c r="A1475" s="8" t="s">
        <v>1565</v>
      </c>
      <c r="B1475" s="4" t="s">
        <v>1447</v>
      </c>
      <c r="C1475" s="4" t="s">
        <v>1453</v>
      </c>
      <c r="D1475" s="4">
        <v>2</v>
      </c>
      <c r="E1475" s="4">
        <v>902</v>
      </c>
      <c r="F1475" s="4">
        <v>10437677</v>
      </c>
      <c r="G1475" s="4">
        <v>1</v>
      </c>
      <c r="H1475" s="4">
        <v>0</v>
      </c>
      <c r="I1475" s="4" t="s">
        <v>27</v>
      </c>
      <c r="J1475" s="4" t="s">
        <v>23</v>
      </c>
      <c r="K1475" s="4" t="s">
        <v>20</v>
      </c>
      <c r="L1475" s="9">
        <v>45228</v>
      </c>
      <c r="M1475" s="9" t="str">
        <f>TEXT(Source_data[[#This Row],[Listing_Date]],"mmm-yy")</f>
        <v>Oct-23</v>
      </c>
      <c r="N1475" s="4">
        <f t="shared" ref="N1475:N1531" si="23">F1475/E1475</f>
        <v>11571.70399113082</v>
      </c>
      <c r="O1475" s="3" cm="1">
        <f t="array" ref="O1475">_xlfn.IFS(AND(K1475="Broker",J1475="Resale"),F1475*0.5,AND(K1475="Owner",J1475="Resale"),F1475*0,AND(K1475="Builder",J1475="Resale"),F1475*0.3,AND(J1475="New",K1475="Broker"),F1475*0.1,AND(J1475="New",K1475="Owner"),F1475*0,AND(J1475="New",K1475="Builder"),F1475*0.5)</f>
        <v>5218838.5</v>
      </c>
    </row>
    <row r="1476" spans="1:15" x14ac:dyDescent="0.3">
      <c r="A1476" s="8" t="s">
        <v>1566</v>
      </c>
      <c r="B1476" s="4" t="s">
        <v>1447</v>
      </c>
      <c r="C1476" s="4" t="s">
        <v>1453</v>
      </c>
      <c r="D1476" s="4">
        <v>2</v>
      </c>
      <c r="E1476" s="4">
        <v>682</v>
      </c>
      <c r="F1476" s="4">
        <v>5978601</v>
      </c>
      <c r="G1476" s="4">
        <v>3</v>
      </c>
      <c r="H1476" s="4">
        <v>3</v>
      </c>
      <c r="I1476" s="4" t="s">
        <v>8</v>
      </c>
      <c r="J1476" s="4" t="s">
        <v>19</v>
      </c>
      <c r="K1476" s="4" t="s">
        <v>20</v>
      </c>
      <c r="L1476" s="9">
        <v>45496</v>
      </c>
      <c r="M1476" s="9" t="str">
        <f>TEXT(Source_data[[#This Row],[Listing_Date]],"mmm-yy")</f>
        <v>Jul-24</v>
      </c>
      <c r="N1476" s="4">
        <f t="shared" si="23"/>
        <v>8766.2771260997069</v>
      </c>
      <c r="O1476" s="3" cm="1">
        <f t="array" ref="O1476">_xlfn.IFS(AND(K1476="Broker",J1476="Resale"),F1476*0.5,AND(K1476="Owner",J1476="Resale"),F1476*0,AND(K1476="Builder",J1476="Resale"),F1476*0.3,AND(J1476="New",K1476="Broker"),F1476*0.1,AND(J1476="New",K1476="Owner"),F1476*0,AND(J1476="New",K1476="Builder"),F1476*0.5)</f>
        <v>597860.1</v>
      </c>
    </row>
    <row r="1477" spans="1:15" x14ac:dyDescent="0.3">
      <c r="A1477" s="8" t="s">
        <v>1567</v>
      </c>
      <c r="B1477" s="4" t="s">
        <v>1447</v>
      </c>
      <c r="C1477" s="4" t="s">
        <v>1461</v>
      </c>
      <c r="D1477" s="4">
        <v>3</v>
      </c>
      <c r="E1477" s="4">
        <v>1376</v>
      </c>
      <c r="F1477" s="4">
        <v>12906025</v>
      </c>
      <c r="G1477" s="4">
        <v>3</v>
      </c>
      <c r="H1477" s="4">
        <v>1</v>
      </c>
      <c r="I1477" s="4" t="s">
        <v>8</v>
      </c>
      <c r="J1477" s="4" t="s">
        <v>23</v>
      </c>
      <c r="K1477" s="4" t="s">
        <v>20</v>
      </c>
      <c r="L1477" s="9">
        <v>45453</v>
      </c>
      <c r="M1477" s="9" t="str">
        <f>TEXT(Source_data[[#This Row],[Listing_Date]],"mmm-yy")</f>
        <v>Jun-24</v>
      </c>
      <c r="N1477" s="4">
        <f t="shared" si="23"/>
        <v>9379.3786337209294</v>
      </c>
      <c r="O1477" s="3" cm="1">
        <f t="array" ref="O1477">_xlfn.IFS(AND(K1477="Broker",J1477="Resale"),F1477*0.5,AND(K1477="Owner",J1477="Resale"),F1477*0,AND(K1477="Builder",J1477="Resale"),F1477*0.3,AND(J1477="New",K1477="Broker"),F1477*0.1,AND(J1477="New",K1477="Owner"),F1477*0,AND(J1477="New",K1477="Builder"),F1477*0.5)</f>
        <v>6453012.5</v>
      </c>
    </row>
    <row r="1478" spans="1:15" x14ac:dyDescent="0.3">
      <c r="A1478" s="8" t="s">
        <v>1568</v>
      </c>
      <c r="B1478" s="4" t="s">
        <v>1447</v>
      </c>
      <c r="C1478" s="4" t="s">
        <v>1463</v>
      </c>
      <c r="D1478" s="4">
        <v>2</v>
      </c>
      <c r="E1478" s="4">
        <v>619</v>
      </c>
      <c r="F1478" s="4">
        <v>5913884</v>
      </c>
      <c r="G1478" s="4">
        <v>2</v>
      </c>
      <c r="H1478" s="4">
        <v>2</v>
      </c>
      <c r="I1478" s="4" t="s">
        <v>27</v>
      </c>
      <c r="J1478" s="4" t="s">
        <v>19</v>
      </c>
      <c r="K1478" s="4" t="s">
        <v>24</v>
      </c>
      <c r="L1478" s="9">
        <v>45015</v>
      </c>
      <c r="M1478" s="9" t="str">
        <f>TEXT(Source_data[[#This Row],[Listing_Date]],"mmm-yy")</f>
        <v>Mar-23</v>
      </c>
      <c r="N1478" s="4">
        <f t="shared" si="23"/>
        <v>9553.9321486268182</v>
      </c>
      <c r="O1478" s="3" cm="1">
        <f t="array" ref="O1478">_xlfn.IFS(AND(K1478="Broker",J1478="Resale"),F1478*0.5,AND(K1478="Owner",J1478="Resale"),F1478*0,AND(K1478="Builder",J1478="Resale"),F1478*0.3,AND(J1478="New",K1478="Broker"),F1478*0.1,AND(J1478="New",K1478="Owner"),F1478*0,AND(J1478="New",K1478="Builder"),F1478*0.5)</f>
        <v>2956942</v>
      </c>
    </row>
    <row r="1479" spans="1:15" x14ac:dyDescent="0.3">
      <c r="A1479" s="8" t="s">
        <v>1569</v>
      </c>
      <c r="B1479" s="4" t="s">
        <v>1447</v>
      </c>
      <c r="C1479" s="4" t="s">
        <v>1453</v>
      </c>
      <c r="D1479" s="4">
        <v>3</v>
      </c>
      <c r="E1479" s="4">
        <v>1545</v>
      </c>
      <c r="F1479" s="4">
        <v>13876761</v>
      </c>
      <c r="G1479" s="4">
        <v>3</v>
      </c>
      <c r="H1479" s="4">
        <v>3</v>
      </c>
      <c r="I1479" s="4" t="s">
        <v>8</v>
      </c>
      <c r="J1479" s="4" t="s">
        <v>19</v>
      </c>
      <c r="K1479" s="4" t="s">
        <v>36</v>
      </c>
      <c r="L1479" s="9">
        <v>45880</v>
      </c>
      <c r="M1479" s="9" t="str">
        <f>TEXT(Source_data[[#This Row],[Listing_Date]],"mmm-yy")</f>
        <v>Aug-25</v>
      </c>
      <c r="N1479" s="4">
        <f t="shared" si="23"/>
        <v>8981.7223300970873</v>
      </c>
      <c r="O1479" s="3" cm="1">
        <f t="array" ref="O1479">_xlfn.IFS(AND(K1479="Broker",J1479="Resale"),F1479*0.5,AND(K1479="Owner",J1479="Resale"),F1479*0,AND(K1479="Builder",J1479="Resale"),F1479*0.3,AND(J1479="New",K1479="Broker"),F1479*0.1,AND(J1479="New",K1479="Owner"),F1479*0,AND(J1479="New",K1479="Builder"),F1479*0.5)</f>
        <v>0</v>
      </c>
    </row>
    <row r="1480" spans="1:15" x14ac:dyDescent="0.3">
      <c r="A1480" s="8" t="s">
        <v>1570</v>
      </c>
      <c r="B1480" s="4" t="s">
        <v>1447</v>
      </c>
      <c r="C1480" s="4" t="s">
        <v>1463</v>
      </c>
      <c r="D1480" s="4">
        <v>3</v>
      </c>
      <c r="E1480" s="4">
        <v>1225</v>
      </c>
      <c r="F1480" s="4">
        <v>13542877</v>
      </c>
      <c r="G1480" s="4">
        <v>3</v>
      </c>
      <c r="H1480" s="4">
        <v>3</v>
      </c>
      <c r="I1480" s="4" t="s">
        <v>8</v>
      </c>
      <c r="J1480" s="4" t="s">
        <v>19</v>
      </c>
      <c r="K1480" s="4" t="s">
        <v>36</v>
      </c>
      <c r="L1480" s="9">
        <v>45336</v>
      </c>
      <c r="M1480" s="9" t="str">
        <f>TEXT(Source_data[[#This Row],[Listing_Date]],"mmm-yy")</f>
        <v>Feb-24</v>
      </c>
      <c r="N1480" s="4">
        <f t="shared" si="23"/>
        <v>11055.409795918367</v>
      </c>
      <c r="O1480" s="3" cm="1">
        <f t="array" ref="O1480">_xlfn.IFS(AND(K1480="Broker",J1480="Resale"),F1480*0.5,AND(K1480="Owner",J1480="Resale"),F1480*0,AND(K1480="Builder",J1480="Resale"),F1480*0.3,AND(J1480="New",K1480="Broker"),F1480*0.1,AND(J1480="New",K1480="Owner"),F1480*0,AND(J1480="New",K1480="Builder"),F1480*0.5)</f>
        <v>0</v>
      </c>
    </row>
    <row r="1481" spans="1:15" x14ac:dyDescent="0.3">
      <c r="A1481" s="8" t="s">
        <v>1571</v>
      </c>
      <c r="B1481" s="4" t="s">
        <v>1447</v>
      </c>
      <c r="C1481" s="4" t="s">
        <v>1463</v>
      </c>
      <c r="D1481" s="4">
        <v>2</v>
      </c>
      <c r="E1481" s="4">
        <v>1011</v>
      </c>
      <c r="F1481" s="4">
        <v>9702232</v>
      </c>
      <c r="G1481" s="4">
        <v>1</v>
      </c>
      <c r="H1481" s="4">
        <v>1</v>
      </c>
      <c r="I1481" s="4" t="s">
        <v>8</v>
      </c>
      <c r="J1481" s="4" t="s">
        <v>19</v>
      </c>
      <c r="K1481" s="4" t="s">
        <v>24</v>
      </c>
      <c r="L1481" s="9">
        <v>45547</v>
      </c>
      <c r="M1481" s="9" t="str">
        <f>TEXT(Source_data[[#This Row],[Listing_Date]],"mmm-yy")</f>
        <v>Sep-24</v>
      </c>
      <c r="N1481" s="4">
        <f t="shared" si="23"/>
        <v>9596.6686449060344</v>
      </c>
      <c r="O1481" s="3" cm="1">
        <f t="array" ref="O1481">_xlfn.IFS(AND(K1481="Broker",J1481="Resale"),F1481*0.5,AND(K1481="Owner",J1481="Resale"),F1481*0,AND(K1481="Builder",J1481="Resale"),F1481*0.3,AND(J1481="New",K1481="Broker"),F1481*0.1,AND(J1481="New",K1481="Owner"),F1481*0,AND(J1481="New",K1481="Builder"),F1481*0.5)</f>
        <v>4851116</v>
      </c>
    </row>
    <row r="1482" spans="1:15" x14ac:dyDescent="0.3">
      <c r="A1482" s="8" t="s">
        <v>1572</v>
      </c>
      <c r="B1482" s="4" t="s">
        <v>1447</v>
      </c>
      <c r="C1482" s="4" t="s">
        <v>1451</v>
      </c>
      <c r="D1482" s="4">
        <v>4</v>
      </c>
      <c r="E1482" s="4">
        <v>1746</v>
      </c>
      <c r="F1482" s="4">
        <v>16574475</v>
      </c>
      <c r="G1482" s="4">
        <v>3</v>
      </c>
      <c r="H1482" s="4">
        <v>3</v>
      </c>
      <c r="I1482" s="4" t="s">
        <v>8</v>
      </c>
      <c r="J1482" s="4" t="s">
        <v>23</v>
      </c>
      <c r="K1482" s="4" t="s">
        <v>20</v>
      </c>
      <c r="L1482" s="9">
        <v>45739</v>
      </c>
      <c r="M1482" s="9" t="str">
        <f>TEXT(Source_data[[#This Row],[Listing_Date]],"mmm-yy")</f>
        <v>Mar-25</v>
      </c>
      <c r="N1482" s="4">
        <f t="shared" si="23"/>
        <v>9492.8264604810993</v>
      </c>
      <c r="O1482" s="3" cm="1">
        <f t="array" ref="O1482">_xlfn.IFS(AND(K1482="Broker",J1482="Resale"),F1482*0.5,AND(K1482="Owner",J1482="Resale"),F1482*0,AND(K1482="Builder",J1482="Resale"),F1482*0.3,AND(J1482="New",K1482="Broker"),F1482*0.1,AND(J1482="New",K1482="Owner"),F1482*0,AND(J1482="New",K1482="Builder"),F1482*0.5)</f>
        <v>8287237.5</v>
      </c>
    </row>
    <row r="1483" spans="1:15" x14ac:dyDescent="0.3">
      <c r="A1483" s="8" t="s">
        <v>1573</v>
      </c>
      <c r="B1483" s="4" t="s">
        <v>1447</v>
      </c>
      <c r="C1483" s="4" t="s">
        <v>1461</v>
      </c>
      <c r="D1483" s="4">
        <v>2</v>
      </c>
      <c r="E1483" s="4">
        <v>532</v>
      </c>
      <c r="F1483" s="4">
        <v>5239811</v>
      </c>
      <c r="G1483" s="4">
        <v>2</v>
      </c>
      <c r="H1483" s="4">
        <v>2</v>
      </c>
      <c r="I1483" s="4" t="s">
        <v>27</v>
      </c>
      <c r="J1483" s="4" t="s">
        <v>23</v>
      </c>
      <c r="K1483" s="4" t="s">
        <v>20</v>
      </c>
      <c r="L1483" s="9">
        <v>45250</v>
      </c>
      <c r="M1483" s="9" t="str">
        <f>TEXT(Source_data[[#This Row],[Listing_Date]],"mmm-yy")</f>
        <v>Nov-23</v>
      </c>
      <c r="N1483" s="4">
        <f t="shared" si="23"/>
        <v>9849.2687969924809</v>
      </c>
      <c r="O1483" s="3" cm="1">
        <f t="array" ref="O1483">_xlfn.IFS(AND(K1483="Broker",J1483="Resale"),F1483*0.5,AND(K1483="Owner",J1483="Resale"),F1483*0,AND(K1483="Builder",J1483="Resale"),F1483*0.3,AND(J1483="New",K1483="Broker"),F1483*0.1,AND(J1483="New",K1483="Owner"),F1483*0,AND(J1483="New",K1483="Builder"),F1483*0.5)</f>
        <v>2619905.5</v>
      </c>
    </row>
    <row r="1484" spans="1:15" x14ac:dyDescent="0.3">
      <c r="A1484" s="8" t="s">
        <v>1574</v>
      </c>
      <c r="B1484" s="4" t="s">
        <v>1447</v>
      </c>
      <c r="C1484" s="4" t="s">
        <v>1451</v>
      </c>
      <c r="D1484" s="4">
        <v>3</v>
      </c>
      <c r="E1484" s="4">
        <v>1049</v>
      </c>
      <c r="F1484" s="4">
        <v>11941585</v>
      </c>
      <c r="G1484" s="4">
        <v>2</v>
      </c>
      <c r="H1484" s="4">
        <v>2</v>
      </c>
      <c r="I1484" s="4" t="s">
        <v>18</v>
      </c>
      <c r="J1484" s="4" t="s">
        <v>19</v>
      </c>
      <c r="K1484" s="4" t="s">
        <v>24</v>
      </c>
      <c r="L1484" s="9">
        <v>45103</v>
      </c>
      <c r="M1484" s="9" t="str">
        <f>TEXT(Source_data[[#This Row],[Listing_Date]],"mmm-yy")</f>
        <v>Jun-23</v>
      </c>
      <c r="N1484" s="4">
        <f t="shared" si="23"/>
        <v>11383.779790276454</v>
      </c>
      <c r="O1484" s="3" cm="1">
        <f t="array" ref="O1484">_xlfn.IFS(AND(K1484="Broker",J1484="Resale"),F1484*0.5,AND(K1484="Owner",J1484="Resale"),F1484*0,AND(K1484="Builder",J1484="Resale"),F1484*0.3,AND(J1484="New",K1484="Broker"),F1484*0.1,AND(J1484="New",K1484="Owner"),F1484*0,AND(J1484="New",K1484="Builder"),F1484*0.5)</f>
        <v>5970792.5</v>
      </c>
    </row>
    <row r="1485" spans="1:15" x14ac:dyDescent="0.3">
      <c r="A1485" s="8" t="s">
        <v>1575</v>
      </c>
      <c r="B1485" s="4" t="s">
        <v>1447</v>
      </c>
      <c r="C1485" s="4" t="s">
        <v>1448</v>
      </c>
      <c r="D1485" s="4">
        <v>2</v>
      </c>
      <c r="E1485" s="4">
        <v>1196</v>
      </c>
      <c r="F1485" s="4">
        <v>11904517</v>
      </c>
      <c r="G1485" s="4">
        <v>2</v>
      </c>
      <c r="H1485" s="4">
        <v>1</v>
      </c>
      <c r="I1485" s="4" t="s">
        <v>27</v>
      </c>
      <c r="J1485" s="4" t="s">
        <v>19</v>
      </c>
      <c r="K1485" s="4" t="s">
        <v>20</v>
      </c>
      <c r="L1485" s="9">
        <v>45860</v>
      </c>
      <c r="M1485" s="9" t="str">
        <f>TEXT(Source_data[[#This Row],[Listing_Date]],"mmm-yy")</f>
        <v>Jul-25</v>
      </c>
      <c r="N1485" s="4">
        <f t="shared" si="23"/>
        <v>9953.6095317725758</v>
      </c>
      <c r="O1485" s="3" cm="1">
        <f t="array" ref="O1485">_xlfn.IFS(AND(K1485="Broker",J1485="Resale"),F1485*0.5,AND(K1485="Owner",J1485="Resale"),F1485*0,AND(K1485="Builder",J1485="Resale"),F1485*0.3,AND(J1485="New",K1485="Broker"),F1485*0.1,AND(J1485="New",K1485="Owner"),F1485*0,AND(J1485="New",K1485="Builder"),F1485*0.5)</f>
        <v>1190451.7</v>
      </c>
    </row>
    <row r="1486" spans="1:15" x14ac:dyDescent="0.3">
      <c r="A1486" s="8" t="s">
        <v>1576</v>
      </c>
      <c r="B1486" s="4" t="s">
        <v>1447</v>
      </c>
      <c r="C1486" s="4" t="s">
        <v>1463</v>
      </c>
      <c r="D1486" s="4">
        <v>3</v>
      </c>
      <c r="E1486" s="4">
        <v>1331</v>
      </c>
      <c r="F1486" s="4">
        <v>14810792</v>
      </c>
      <c r="G1486" s="4">
        <v>3</v>
      </c>
      <c r="H1486" s="4">
        <v>2</v>
      </c>
      <c r="I1486" s="4" t="s">
        <v>27</v>
      </c>
      <c r="J1486" s="4" t="s">
        <v>19</v>
      </c>
      <c r="K1486" s="4" t="s">
        <v>24</v>
      </c>
      <c r="L1486" s="9">
        <v>44998</v>
      </c>
      <c r="M1486" s="9" t="str">
        <f>TEXT(Source_data[[#This Row],[Listing_Date]],"mmm-yy")</f>
        <v>Mar-23</v>
      </c>
      <c r="N1486" s="4">
        <f t="shared" si="23"/>
        <v>11127.567242674681</v>
      </c>
      <c r="O1486" s="3" cm="1">
        <f t="array" ref="O1486">_xlfn.IFS(AND(K1486="Broker",J1486="Resale"),F1486*0.5,AND(K1486="Owner",J1486="Resale"),F1486*0,AND(K1486="Builder",J1486="Resale"),F1486*0.3,AND(J1486="New",K1486="Broker"),F1486*0.1,AND(J1486="New",K1486="Owner"),F1486*0,AND(J1486="New",K1486="Builder"),F1486*0.5)</f>
        <v>7405396</v>
      </c>
    </row>
    <row r="1487" spans="1:15" x14ac:dyDescent="0.3">
      <c r="A1487" s="8" t="s">
        <v>1577</v>
      </c>
      <c r="B1487" s="4" t="s">
        <v>1447</v>
      </c>
      <c r="C1487" s="4" t="s">
        <v>1461</v>
      </c>
      <c r="D1487" s="4">
        <v>3</v>
      </c>
      <c r="E1487" s="4">
        <v>1446</v>
      </c>
      <c r="F1487" s="4">
        <v>14999634</v>
      </c>
      <c r="G1487" s="4">
        <v>3</v>
      </c>
      <c r="H1487" s="4">
        <v>2</v>
      </c>
      <c r="I1487" s="4" t="s">
        <v>27</v>
      </c>
      <c r="J1487" s="4" t="s">
        <v>23</v>
      </c>
      <c r="K1487" s="4" t="s">
        <v>20</v>
      </c>
      <c r="L1487" s="9">
        <v>45246</v>
      </c>
      <c r="M1487" s="9" t="str">
        <f>TEXT(Source_data[[#This Row],[Listing_Date]],"mmm-yy")</f>
        <v>Nov-23</v>
      </c>
      <c r="N1487" s="4">
        <f t="shared" si="23"/>
        <v>10373.190871369294</v>
      </c>
      <c r="O1487" s="3" cm="1">
        <f t="array" ref="O1487">_xlfn.IFS(AND(K1487="Broker",J1487="Resale"),F1487*0.5,AND(K1487="Owner",J1487="Resale"),F1487*0,AND(K1487="Builder",J1487="Resale"),F1487*0.3,AND(J1487="New",K1487="Broker"),F1487*0.1,AND(J1487="New",K1487="Owner"),F1487*0,AND(J1487="New",K1487="Builder"),F1487*0.5)</f>
        <v>7499817</v>
      </c>
    </row>
    <row r="1488" spans="1:15" x14ac:dyDescent="0.3">
      <c r="A1488" s="8" t="s">
        <v>1578</v>
      </c>
      <c r="B1488" s="4" t="s">
        <v>1447</v>
      </c>
      <c r="C1488" s="4" t="s">
        <v>1463</v>
      </c>
      <c r="D1488" s="4">
        <v>3</v>
      </c>
      <c r="E1488" s="4">
        <v>1455</v>
      </c>
      <c r="F1488" s="4">
        <v>16169203</v>
      </c>
      <c r="G1488" s="4">
        <v>4</v>
      </c>
      <c r="H1488" s="4">
        <v>3</v>
      </c>
      <c r="I1488" s="4" t="s">
        <v>18</v>
      </c>
      <c r="J1488" s="4" t="s">
        <v>19</v>
      </c>
      <c r="K1488" s="4" t="s">
        <v>20</v>
      </c>
      <c r="L1488" s="9">
        <v>45428</v>
      </c>
      <c r="M1488" s="9" t="str">
        <f>TEXT(Source_data[[#This Row],[Listing_Date]],"mmm-yy")</f>
        <v>May-24</v>
      </c>
      <c r="N1488" s="4">
        <f t="shared" si="23"/>
        <v>11112.854295532647</v>
      </c>
      <c r="O1488" s="3" cm="1">
        <f t="array" ref="O1488">_xlfn.IFS(AND(K1488="Broker",J1488="Resale"),F1488*0.5,AND(K1488="Owner",J1488="Resale"),F1488*0,AND(K1488="Builder",J1488="Resale"),F1488*0.3,AND(J1488="New",K1488="Broker"),F1488*0.1,AND(J1488="New",K1488="Owner"),F1488*0,AND(J1488="New",K1488="Builder"),F1488*0.5)</f>
        <v>1616920.3</v>
      </c>
    </row>
    <row r="1489" spans="1:15" x14ac:dyDescent="0.3">
      <c r="A1489" s="8" t="s">
        <v>1579</v>
      </c>
      <c r="B1489" s="4" t="s">
        <v>1447</v>
      </c>
      <c r="C1489" s="4" t="s">
        <v>1453</v>
      </c>
      <c r="D1489" s="4">
        <v>2</v>
      </c>
      <c r="E1489" s="4">
        <v>791</v>
      </c>
      <c r="F1489" s="4">
        <v>7027436</v>
      </c>
      <c r="G1489" s="4">
        <v>3</v>
      </c>
      <c r="H1489" s="4">
        <v>2</v>
      </c>
      <c r="I1489" s="4" t="s">
        <v>27</v>
      </c>
      <c r="J1489" s="4" t="s">
        <v>23</v>
      </c>
      <c r="K1489" s="4" t="s">
        <v>24</v>
      </c>
      <c r="L1489" s="9">
        <v>45302</v>
      </c>
      <c r="M1489" s="9" t="str">
        <f>TEXT(Source_data[[#This Row],[Listing_Date]],"mmm-yy")</f>
        <v>Jan-24</v>
      </c>
      <c r="N1489" s="4">
        <f t="shared" si="23"/>
        <v>8884.2427307206071</v>
      </c>
      <c r="O1489" s="3" cm="1">
        <f t="array" ref="O1489">_xlfn.IFS(AND(K1489="Broker",J1489="Resale"),F1489*0.5,AND(K1489="Owner",J1489="Resale"),F1489*0,AND(K1489="Builder",J1489="Resale"),F1489*0.3,AND(J1489="New",K1489="Broker"),F1489*0.1,AND(J1489="New",K1489="Owner"),F1489*0,AND(J1489="New",K1489="Builder"),F1489*0.5)</f>
        <v>2108230.7999999998</v>
      </c>
    </row>
    <row r="1490" spans="1:15" x14ac:dyDescent="0.3">
      <c r="A1490" s="8" t="s">
        <v>1580</v>
      </c>
      <c r="B1490" s="4" t="s">
        <v>1447</v>
      </c>
      <c r="C1490" s="4" t="s">
        <v>1463</v>
      </c>
      <c r="D1490" s="4">
        <v>1</v>
      </c>
      <c r="E1490" s="4">
        <v>674</v>
      </c>
      <c r="F1490" s="4">
        <v>5445988</v>
      </c>
      <c r="G1490" s="4">
        <v>1</v>
      </c>
      <c r="H1490" s="4">
        <v>4</v>
      </c>
      <c r="I1490" s="4" t="s">
        <v>27</v>
      </c>
      <c r="J1490" s="4" t="s">
        <v>23</v>
      </c>
      <c r="K1490" s="4" t="s">
        <v>24</v>
      </c>
      <c r="L1490" s="9">
        <v>45240</v>
      </c>
      <c r="M1490" s="9" t="str">
        <f>TEXT(Source_data[[#This Row],[Listing_Date]],"mmm-yy")</f>
        <v>Nov-23</v>
      </c>
      <c r="N1490" s="4">
        <f t="shared" si="23"/>
        <v>8080.1008902077156</v>
      </c>
      <c r="O1490" s="3" cm="1">
        <f t="array" ref="O1490">_xlfn.IFS(AND(K1490="Broker",J1490="Resale"),F1490*0.5,AND(K1490="Owner",J1490="Resale"),F1490*0,AND(K1490="Builder",J1490="Resale"),F1490*0.3,AND(J1490="New",K1490="Broker"),F1490*0.1,AND(J1490="New",K1490="Owner"),F1490*0,AND(J1490="New",K1490="Builder"),F1490*0.5)</f>
        <v>1633796.4</v>
      </c>
    </row>
    <row r="1491" spans="1:15" x14ac:dyDescent="0.3">
      <c r="A1491" s="8" t="s">
        <v>1581</v>
      </c>
      <c r="B1491" s="4" t="s">
        <v>1447</v>
      </c>
      <c r="C1491" s="4" t="s">
        <v>1448</v>
      </c>
      <c r="D1491" s="4">
        <v>3</v>
      </c>
      <c r="E1491" s="4">
        <v>1545</v>
      </c>
      <c r="F1491" s="4">
        <v>18981144</v>
      </c>
      <c r="G1491" s="4">
        <v>3</v>
      </c>
      <c r="H1491" s="4">
        <v>1</v>
      </c>
      <c r="I1491" s="4" t="s">
        <v>18</v>
      </c>
      <c r="J1491" s="4" t="s">
        <v>19</v>
      </c>
      <c r="K1491" s="4" t="s">
        <v>20</v>
      </c>
      <c r="L1491" s="9">
        <v>45273</v>
      </c>
      <c r="M1491" s="9" t="str">
        <f>TEXT(Source_data[[#This Row],[Listing_Date]],"mmm-yy")</f>
        <v>Dec-23</v>
      </c>
      <c r="N1491" s="4">
        <f t="shared" si="23"/>
        <v>12285.53009708738</v>
      </c>
      <c r="O1491" s="3" cm="1">
        <f t="array" ref="O1491">_xlfn.IFS(AND(K1491="Broker",J1491="Resale"),F1491*0.5,AND(K1491="Owner",J1491="Resale"),F1491*0,AND(K1491="Builder",J1491="Resale"),F1491*0.3,AND(J1491="New",K1491="Broker"),F1491*0.1,AND(J1491="New",K1491="Owner"),F1491*0,AND(J1491="New",K1491="Builder"),F1491*0.5)</f>
        <v>1898114.4000000001</v>
      </c>
    </row>
    <row r="1492" spans="1:15" x14ac:dyDescent="0.3">
      <c r="A1492" s="8" t="s">
        <v>1582</v>
      </c>
      <c r="B1492" s="4" t="s">
        <v>1447</v>
      </c>
      <c r="C1492" s="4" t="s">
        <v>1461</v>
      </c>
      <c r="D1492" s="4">
        <v>3</v>
      </c>
      <c r="E1492" s="4">
        <v>1362</v>
      </c>
      <c r="F1492" s="4">
        <v>8969667</v>
      </c>
      <c r="G1492" s="4">
        <v>3</v>
      </c>
      <c r="H1492" s="4">
        <v>3</v>
      </c>
      <c r="I1492" s="4" t="s">
        <v>18</v>
      </c>
      <c r="J1492" s="4" t="s">
        <v>23</v>
      </c>
      <c r="K1492" s="4" t="s">
        <v>36</v>
      </c>
      <c r="L1492" s="9">
        <v>44973</v>
      </c>
      <c r="M1492" s="9" t="str">
        <f>TEXT(Source_data[[#This Row],[Listing_Date]],"mmm-yy")</f>
        <v>Feb-23</v>
      </c>
      <c r="N1492" s="4">
        <f t="shared" si="23"/>
        <v>6585.6585903083696</v>
      </c>
      <c r="O1492" s="3" cm="1">
        <f t="array" ref="O1492">_xlfn.IFS(AND(K1492="Broker",J1492="Resale"),F1492*0.5,AND(K1492="Owner",J1492="Resale"),F1492*0,AND(K1492="Builder",J1492="Resale"),F1492*0.3,AND(J1492="New",K1492="Broker"),F1492*0.1,AND(J1492="New",K1492="Owner"),F1492*0,AND(J1492="New",K1492="Builder"),F1492*0.5)</f>
        <v>0</v>
      </c>
    </row>
    <row r="1493" spans="1:15" x14ac:dyDescent="0.3">
      <c r="A1493" s="8" t="s">
        <v>1583</v>
      </c>
      <c r="B1493" s="4" t="s">
        <v>1447</v>
      </c>
      <c r="C1493" s="4" t="s">
        <v>1451</v>
      </c>
      <c r="D1493" s="4">
        <v>5</v>
      </c>
      <c r="E1493" s="4">
        <v>2048</v>
      </c>
      <c r="F1493" s="4">
        <v>19438558</v>
      </c>
      <c r="G1493" s="4">
        <v>4</v>
      </c>
      <c r="H1493" s="4">
        <v>2</v>
      </c>
      <c r="I1493" s="4" t="s">
        <v>8</v>
      </c>
      <c r="J1493" s="4" t="s">
        <v>19</v>
      </c>
      <c r="K1493" s="4" t="s">
        <v>20</v>
      </c>
      <c r="L1493" s="9">
        <v>45282</v>
      </c>
      <c r="M1493" s="9" t="str">
        <f>TEXT(Source_data[[#This Row],[Listing_Date]],"mmm-yy")</f>
        <v>Dec-23</v>
      </c>
      <c r="N1493" s="4">
        <f t="shared" si="23"/>
        <v>9491.4833984375</v>
      </c>
      <c r="O1493" s="3" cm="1">
        <f t="array" ref="O1493">_xlfn.IFS(AND(K1493="Broker",J1493="Resale"),F1493*0.5,AND(K1493="Owner",J1493="Resale"),F1493*0,AND(K1493="Builder",J1493="Resale"),F1493*0.3,AND(J1493="New",K1493="Broker"),F1493*0.1,AND(J1493="New",K1493="Owner"),F1493*0,AND(J1493="New",K1493="Builder"),F1493*0.5)</f>
        <v>1943855.8</v>
      </c>
    </row>
    <row r="1494" spans="1:15" x14ac:dyDescent="0.3">
      <c r="A1494" s="8" t="s">
        <v>1584</v>
      </c>
      <c r="B1494" s="4" t="s">
        <v>1447</v>
      </c>
      <c r="C1494" s="4" t="s">
        <v>1453</v>
      </c>
      <c r="D1494" s="4">
        <v>3</v>
      </c>
      <c r="E1494" s="4">
        <v>1204</v>
      </c>
      <c r="F1494" s="4">
        <v>10795364</v>
      </c>
      <c r="G1494" s="4">
        <v>3</v>
      </c>
      <c r="H1494" s="4">
        <v>1</v>
      </c>
      <c r="I1494" s="4" t="s">
        <v>8</v>
      </c>
      <c r="J1494" s="4" t="s">
        <v>19</v>
      </c>
      <c r="K1494" s="4" t="s">
        <v>36</v>
      </c>
      <c r="L1494" s="9">
        <v>45809</v>
      </c>
      <c r="M1494" s="9" t="str">
        <f>TEXT(Source_data[[#This Row],[Listing_Date]],"mmm-yy")</f>
        <v>Jun-25</v>
      </c>
      <c r="N1494" s="4">
        <f t="shared" si="23"/>
        <v>8966.2491694352157</v>
      </c>
      <c r="O1494" s="3" cm="1">
        <f t="array" ref="O1494">_xlfn.IFS(AND(K1494="Broker",J1494="Resale"),F1494*0.5,AND(K1494="Owner",J1494="Resale"),F1494*0,AND(K1494="Builder",J1494="Resale"),F1494*0.3,AND(J1494="New",K1494="Broker"),F1494*0.1,AND(J1494="New",K1494="Owner"),F1494*0,AND(J1494="New",K1494="Builder"),F1494*0.5)</f>
        <v>0</v>
      </c>
    </row>
    <row r="1495" spans="1:15" x14ac:dyDescent="0.3">
      <c r="A1495" s="8" t="s">
        <v>1585</v>
      </c>
      <c r="B1495" s="4" t="s">
        <v>1447</v>
      </c>
      <c r="C1495" s="4" t="s">
        <v>1453</v>
      </c>
      <c r="D1495" s="4">
        <v>2</v>
      </c>
      <c r="E1495" s="4">
        <v>1301</v>
      </c>
      <c r="F1495" s="4">
        <v>10846955</v>
      </c>
      <c r="G1495" s="4">
        <v>2</v>
      </c>
      <c r="H1495" s="4">
        <v>2</v>
      </c>
      <c r="I1495" s="4" t="s">
        <v>8</v>
      </c>
      <c r="J1495" s="4" t="s">
        <v>19</v>
      </c>
      <c r="K1495" s="4" t="s">
        <v>36</v>
      </c>
      <c r="L1495" s="9">
        <v>45112</v>
      </c>
      <c r="M1495" s="9" t="str">
        <f>TEXT(Source_data[[#This Row],[Listing_Date]],"mmm-yy")</f>
        <v>Jul-23</v>
      </c>
      <c r="N1495" s="4">
        <f t="shared" si="23"/>
        <v>8337.3981552651803</v>
      </c>
      <c r="O1495" s="3" cm="1">
        <f t="array" ref="O1495">_xlfn.IFS(AND(K1495="Broker",J1495="Resale"),F1495*0.5,AND(K1495="Owner",J1495="Resale"),F1495*0,AND(K1495="Builder",J1495="Resale"),F1495*0.3,AND(J1495="New",K1495="Broker"),F1495*0.1,AND(J1495="New",K1495="Owner"),F1495*0,AND(J1495="New",K1495="Builder"),F1495*0.5)</f>
        <v>0</v>
      </c>
    </row>
    <row r="1496" spans="1:15" x14ac:dyDescent="0.3">
      <c r="A1496" s="8" t="s">
        <v>1586</v>
      </c>
      <c r="B1496" s="4" t="s">
        <v>1447</v>
      </c>
      <c r="C1496" s="4" t="s">
        <v>1448</v>
      </c>
      <c r="D1496" s="4">
        <v>3</v>
      </c>
      <c r="E1496" s="4">
        <v>1463</v>
      </c>
      <c r="F1496" s="4">
        <v>9163222</v>
      </c>
      <c r="G1496" s="4">
        <v>2</v>
      </c>
      <c r="H1496" s="4">
        <v>4</v>
      </c>
      <c r="I1496" s="4" t="s">
        <v>18</v>
      </c>
      <c r="J1496" s="4" t="s">
        <v>23</v>
      </c>
      <c r="K1496" s="4" t="s">
        <v>24</v>
      </c>
      <c r="L1496" s="9">
        <v>45435</v>
      </c>
      <c r="M1496" s="9" t="str">
        <f>TEXT(Source_data[[#This Row],[Listing_Date]],"mmm-yy")</f>
        <v>May-24</v>
      </c>
      <c r="N1496" s="4">
        <f t="shared" si="23"/>
        <v>6263.3096377306902</v>
      </c>
      <c r="O1496" s="3" cm="1">
        <f t="array" ref="O1496">_xlfn.IFS(AND(K1496="Broker",J1496="Resale"),F1496*0.5,AND(K1496="Owner",J1496="Resale"),F1496*0,AND(K1496="Builder",J1496="Resale"),F1496*0.3,AND(J1496="New",K1496="Broker"),F1496*0.1,AND(J1496="New",K1496="Owner"),F1496*0,AND(J1496="New",K1496="Builder"),F1496*0.5)</f>
        <v>2748966.6</v>
      </c>
    </row>
    <row r="1497" spans="1:15" x14ac:dyDescent="0.3">
      <c r="A1497" s="8" t="s">
        <v>1587</v>
      </c>
      <c r="B1497" s="4" t="s">
        <v>1447</v>
      </c>
      <c r="C1497" s="4" t="s">
        <v>1463</v>
      </c>
      <c r="D1497" s="4">
        <v>2</v>
      </c>
      <c r="E1497" s="4">
        <v>787</v>
      </c>
      <c r="F1497" s="4">
        <v>7527913</v>
      </c>
      <c r="G1497" s="4">
        <v>1</v>
      </c>
      <c r="H1497" s="4">
        <v>2</v>
      </c>
      <c r="I1497" s="4" t="s">
        <v>18</v>
      </c>
      <c r="J1497" s="4" t="s">
        <v>23</v>
      </c>
      <c r="K1497" s="4" t="s">
        <v>24</v>
      </c>
      <c r="L1497" s="9">
        <v>45841</v>
      </c>
      <c r="M1497" s="9" t="str">
        <f>TEXT(Source_data[[#This Row],[Listing_Date]],"mmm-yy")</f>
        <v>Jul-25</v>
      </c>
      <c r="N1497" s="4">
        <f t="shared" si="23"/>
        <v>9565.327827191868</v>
      </c>
      <c r="O1497" s="3" cm="1">
        <f t="array" ref="O1497">_xlfn.IFS(AND(K1497="Broker",J1497="Resale"),F1497*0.5,AND(K1497="Owner",J1497="Resale"),F1497*0,AND(K1497="Builder",J1497="Resale"),F1497*0.3,AND(J1497="New",K1497="Broker"),F1497*0.1,AND(J1497="New",K1497="Owner"),F1497*0,AND(J1497="New",K1497="Builder"),F1497*0.5)</f>
        <v>2258373.9</v>
      </c>
    </row>
    <row r="1498" spans="1:15" x14ac:dyDescent="0.3">
      <c r="A1498" s="8" t="s">
        <v>1588</v>
      </c>
      <c r="B1498" s="4" t="s">
        <v>1447</v>
      </c>
      <c r="C1498" s="4" t="s">
        <v>1475</v>
      </c>
      <c r="D1498" s="4">
        <v>1</v>
      </c>
      <c r="E1498" s="4">
        <v>578</v>
      </c>
      <c r="F1498" s="4">
        <v>5343576</v>
      </c>
      <c r="G1498" s="4">
        <v>1</v>
      </c>
      <c r="H1498" s="4">
        <v>2</v>
      </c>
      <c r="I1498" s="4" t="s">
        <v>8</v>
      </c>
      <c r="J1498" s="4" t="s">
        <v>19</v>
      </c>
      <c r="K1498" s="4" t="s">
        <v>20</v>
      </c>
      <c r="L1498" s="9">
        <v>44958</v>
      </c>
      <c r="M1498" s="9" t="str">
        <f>TEXT(Source_data[[#This Row],[Listing_Date]],"mmm-yy")</f>
        <v>Feb-23</v>
      </c>
      <c r="N1498" s="4">
        <f t="shared" si="23"/>
        <v>9244.9411764705874</v>
      </c>
      <c r="O1498" s="3" cm="1">
        <f t="array" ref="O1498">_xlfn.IFS(AND(K1498="Broker",J1498="Resale"),F1498*0.5,AND(K1498="Owner",J1498="Resale"),F1498*0,AND(K1498="Builder",J1498="Resale"),F1498*0.3,AND(J1498="New",K1498="Broker"),F1498*0.1,AND(J1498="New",K1498="Owner"),F1498*0,AND(J1498="New",K1498="Builder"),F1498*0.5)</f>
        <v>534357.6</v>
      </c>
    </row>
    <row r="1499" spans="1:15" x14ac:dyDescent="0.3">
      <c r="A1499" s="8" t="s">
        <v>1589</v>
      </c>
      <c r="B1499" s="4" t="s">
        <v>1447</v>
      </c>
      <c r="C1499" s="4" t="s">
        <v>1475</v>
      </c>
      <c r="D1499" s="4">
        <v>2</v>
      </c>
      <c r="E1499" s="4">
        <v>633</v>
      </c>
      <c r="F1499" s="4">
        <v>5006149</v>
      </c>
      <c r="G1499" s="4">
        <v>2</v>
      </c>
      <c r="H1499" s="4">
        <v>1</v>
      </c>
      <c r="I1499" s="4" t="s">
        <v>8</v>
      </c>
      <c r="J1499" s="4" t="s">
        <v>19</v>
      </c>
      <c r="K1499" s="4" t="s">
        <v>20</v>
      </c>
      <c r="L1499" s="9">
        <v>45013</v>
      </c>
      <c r="M1499" s="9" t="str">
        <f>TEXT(Source_data[[#This Row],[Listing_Date]],"mmm-yy")</f>
        <v>Mar-23</v>
      </c>
      <c r="N1499" s="4">
        <f t="shared" si="23"/>
        <v>7908.6082148499208</v>
      </c>
      <c r="O1499" s="3" cm="1">
        <f t="array" ref="O1499">_xlfn.IFS(AND(K1499="Broker",J1499="Resale"),F1499*0.5,AND(K1499="Owner",J1499="Resale"),F1499*0,AND(K1499="Builder",J1499="Resale"),F1499*0.3,AND(J1499="New",K1499="Broker"),F1499*0.1,AND(J1499="New",K1499="Owner"),F1499*0,AND(J1499="New",K1499="Builder"),F1499*0.5)</f>
        <v>500614.9</v>
      </c>
    </row>
    <row r="1500" spans="1:15" x14ac:dyDescent="0.3">
      <c r="A1500" s="8" t="s">
        <v>1590</v>
      </c>
      <c r="B1500" s="4" t="s">
        <v>1447</v>
      </c>
      <c r="C1500" s="4" t="s">
        <v>1463</v>
      </c>
      <c r="D1500" s="4">
        <v>3</v>
      </c>
      <c r="E1500" s="4">
        <v>843</v>
      </c>
      <c r="F1500" s="4">
        <v>5094918</v>
      </c>
      <c r="G1500" s="4">
        <v>3</v>
      </c>
      <c r="H1500" s="4">
        <v>1</v>
      </c>
      <c r="I1500" s="4" t="s">
        <v>27</v>
      </c>
      <c r="J1500" s="4" t="s">
        <v>19</v>
      </c>
      <c r="K1500" s="4" t="s">
        <v>20</v>
      </c>
      <c r="L1500" s="9">
        <v>44962</v>
      </c>
      <c r="M1500" s="9" t="str">
        <f>TEXT(Source_data[[#This Row],[Listing_Date]],"mmm-yy")</f>
        <v>Feb-23</v>
      </c>
      <c r="N1500" s="4">
        <f t="shared" si="23"/>
        <v>6043.7935943060502</v>
      </c>
      <c r="O1500" s="3" cm="1">
        <f t="array" ref="O1500">_xlfn.IFS(AND(K1500="Broker",J1500="Resale"),F1500*0.5,AND(K1500="Owner",J1500="Resale"),F1500*0,AND(K1500="Builder",J1500="Resale"),F1500*0.3,AND(J1500="New",K1500="Broker"),F1500*0.1,AND(J1500="New",K1500="Owner"),F1500*0,AND(J1500="New",K1500="Builder"),F1500*0.5)</f>
        <v>509491.80000000005</v>
      </c>
    </row>
    <row r="1501" spans="1:15" x14ac:dyDescent="0.3">
      <c r="A1501" s="8" t="s">
        <v>1591</v>
      </c>
      <c r="B1501" s="4" t="s">
        <v>1447</v>
      </c>
      <c r="C1501" s="4" t="s">
        <v>1451</v>
      </c>
      <c r="D1501" s="4">
        <v>2</v>
      </c>
      <c r="E1501" s="4">
        <v>1204</v>
      </c>
      <c r="F1501" s="4">
        <v>5703005</v>
      </c>
      <c r="G1501" s="4">
        <v>2</v>
      </c>
      <c r="H1501" s="4">
        <v>2</v>
      </c>
      <c r="I1501" s="4" t="s">
        <v>8</v>
      </c>
      <c r="J1501" s="4" t="s">
        <v>23</v>
      </c>
      <c r="K1501" s="4" t="s">
        <v>24</v>
      </c>
      <c r="L1501" s="9">
        <v>45200</v>
      </c>
      <c r="M1501" s="9" t="str">
        <f>TEXT(Source_data[[#This Row],[Listing_Date]],"mmm-yy")</f>
        <v>Oct-23</v>
      </c>
      <c r="N1501" s="4">
        <f t="shared" si="23"/>
        <v>4736.7151162790697</v>
      </c>
      <c r="O1501" s="3" cm="1">
        <f t="array" ref="O1501">_xlfn.IFS(AND(K1501="Broker",J1501="Resale"),F1501*0.5,AND(K1501="Owner",J1501="Resale"),F1501*0,AND(K1501="Builder",J1501="Resale"),F1501*0.3,AND(J1501="New",K1501="Broker"),F1501*0.1,AND(J1501="New",K1501="Owner"),F1501*0,AND(J1501="New",K1501="Builder"),F1501*0.5)</f>
        <v>1710901.5</v>
      </c>
    </row>
    <row r="1502" spans="1:15" x14ac:dyDescent="0.3">
      <c r="A1502" s="8" t="s">
        <v>1592</v>
      </c>
      <c r="B1502" s="4" t="s">
        <v>1447</v>
      </c>
      <c r="C1502" s="4" t="s">
        <v>1451</v>
      </c>
      <c r="D1502" s="4">
        <v>3</v>
      </c>
      <c r="E1502" s="4">
        <v>951</v>
      </c>
      <c r="F1502" s="4">
        <v>8741442</v>
      </c>
      <c r="G1502" s="4">
        <v>3</v>
      </c>
      <c r="H1502" s="4">
        <v>4</v>
      </c>
      <c r="I1502" s="4" t="s">
        <v>18</v>
      </c>
      <c r="J1502" s="4" t="s">
        <v>23</v>
      </c>
      <c r="K1502" s="4" t="s">
        <v>24</v>
      </c>
      <c r="L1502" s="9">
        <v>45427</v>
      </c>
      <c r="M1502" s="9" t="str">
        <f>TEXT(Source_data[[#This Row],[Listing_Date]],"mmm-yy")</f>
        <v>May-24</v>
      </c>
      <c r="N1502" s="4">
        <f t="shared" si="23"/>
        <v>9191.8422712933752</v>
      </c>
      <c r="O1502" s="3" cm="1">
        <f t="array" ref="O1502">_xlfn.IFS(AND(K1502="Broker",J1502="Resale"),F1502*0.5,AND(K1502="Owner",J1502="Resale"),F1502*0,AND(K1502="Builder",J1502="Resale"),F1502*0.3,AND(J1502="New",K1502="Broker"),F1502*0.1,AND(J1502="New",K1502="Owner"),F1502*0,AND(J1502="New",K1502="Builder"),F1502*0.5)</f>
        <v>2622432.6</v>
      </c>
    </row>
    <row r="1503" spans="1:15" x14ac:dyDescent="0.3">
      <c r="A1503" s="8" t="s">
        <v>1593</v>
      </c>
      <c r="B1503" s="4" t="s">
        <v>1447</v>
      </c>
      <c r="C1503" s="4" t="s">
        <v>1451</v>
      </c>
      <c r="D1503" s="4">
        <v>2</v>
      </c>
      <c r="E1503" s="4">
        <v>1446</v>
      </c>
      <c r="F1503" s="4">
        <v>12794564</v>
      </c>
      <c r="G1503" s="4">
        <v>2</v>
      </c>
      <c r="H1503" s="4">
        <v>2</v>
      </c>
      <c r="I1503" s="4" t="s">
        <v>18</v>
      </c>
      <c r="J1503" s="4" t="s">
        <v>23</v>
      </c>
      <c r="K1503" s="4" t="s">
        <v>24</v>
      </c>
      <c r="L1503" s="9">
        <v>45186</v>
      </c>
      <c r="M1503" s="9" t="str">
        <f>TEXT(Source_data[[#This Row],[Listing_Date]],"mmm-yy")</f>
        <v>Sep-23</v>
      </c>
      <c r="N1503" s="4">
        <f t="shared" si="23"/>
        <v>8848.2461964038721</v>
      </c>
      <c r="O1503" s="3" cm="1">
        <f t="array" ref="O1503">_xlfn.IFS(AND(K1503="Broker",J1503="Resale"),F1503*0.5,AND(K1503="Owner",J1503="Resale"),F1503*0,AND(K1503="Builder",J1503="Resale"),F1503*0.3,AND(J1503="New",K1503="Broker"),F1503*0.1,AND(J1503="New",K1503="Owner"),F1503*0,AND(J1503="New",K1503="Builder"),F1503*0.5)</f>
        <v>3838369.1999999997</v>
      </c>
    </row>
    <row r="1504" spans="1:15" x14ac:dyDescent="0.3">
      <c r="A1504" s="8" t="s">
        <v>1594</v>
      </c>
      <c r="B1504" s="4" t="s">
        <v>1447</v>
      </c>
      <c r="C1504" s="4" t="s">
        <v>1448</v>
      </c>
      <c r="D1504" s="4">
        <v>2</v>
      </c>
      <c r="E1504" s="4">
        <v>1369</v>
      </c>
      <c r="F1504" s="4">
        <v>11089150</v>
      </c>
      <c r="G1504" s="4">
        <v>1</v>
      </c>
      <c r="H1504" s="4">
        <v>1</v>
      </c>
      <c r="I1504" s="4" t="s">
        <v>8</v>
      </c>
      <c r="J1504" s="4" t="s">
        <v>23</v>
      </c>
      <c r="K1504" s="4" t="s">
        <v>36</v>
      </c>
      <c r="L1504" s="9">
        <v>45133</v>
      </c>
      <c r="M1504" s="9" t="str">
        <f>TEXT(Source_data[[#This Row],[Listing_Date]],"mmm-yy")</f>
        <v>Jul-23</v>
      </c>
      <c r="N1504" s="4">
        <f t="shared" si="23"/>
        <v>8100.1826150474799</v>
      </c>
      <c r="O1504" s="3" cm="1">
        <f t="array" ref="O1504">_xlfn.IFS(AND(K1504="Broker",J1504="Resale"),F1504*0.5,AND(K1504="Owner",J1504="Resale"),F1504*0,AND(K1504="Builder",J1504="Resale"),F1504*0.3,AND(J1504="New",K1504="Broker"),F1504*0.1,AND(J1504="New",K1504="Owner"),F1504*0,AND(J1504="New",K1504="Builder"),F1504*0.5)</f>
        <v>0</v>
      </c>
    </row>
    <row r="1505" spans="1:15" x14ac:dyDescent="0.3">
      <c r="A1505" s="8" t="s">
        <v>1595</v>
      </c>
      <c r="B1505" s="4" t="s">
        <v>1447</v>
      </c>
      <c r="C1505" s="4" t="s">
        <v>1461</v>
      </c>
      <c r="D1505" s="4">
        <v>1</v>
      </c>
      <c r="E1505" s="4">
        <v>422</v>
      </c>
      <c r="F1505" s="4">
        <v>3999731</v>
      </c>
      <c r="G1505" s="4">
        <v>2</v>
      </c>
      <c r="H1505" s="4">
        <v>2</v>
      </c>
      <c r="I1505" s="4" t="s">
        <v>8</v>
      </c>
      <c r="J1505" s="4" t="s">
        <v>23</v>
      </c>
      <c r="K1505" s="4" t="s">
        <v>20</v>
      </c>
      <c r="L1505" s="9">
        <v>45175</v>
      </c>
      <c r="M1505" s="9" t="str">
        <f>TEXT(Source_data[[#This Row],[Listing_Date]],"mmm-yy")</f>
        <v>Sep-23</v>
      </c>
      <c r="N1505" s="4">
        <f t="shared" si="23"/>
        <v>9478.0355450236966</v>
      </c>
      <c r="O1505" s="3" cm="1">
        <f t="array" ref="O1505">_xlfn.IFS(AND(K1505="Broker",J1505="Resale"),F1505*0.5,AND(K1505="Owner",J1505="Resale"),F1505*0,AND(K1505="Builder",J1505="Resale"),F1505*0.3,AND(J1505="New",K1505="Broker"),F1505*0.1,AND(J1505="New",K1505="Owner"),F1505*0,AND(J1505="New",K1505="Builder"),F1505*0.5)</f>
        <v>1999865.5</v>
      </c>
    </row>
    <row r="1506" spans="1:15" x14ac:dyDescent="0.3">
      <c r="A1506" s="8" t="s">
        <v>1596</v>
      </c>
      <c r="B1506" s="4" t="s">
        <v>1447</v>
      </c>
      <c r="C1506" s="4" t="s">
        <v>1475</v>
      </c>
      <c r="D1506" s="4">
        <v>3</v>
      </c>
      <c r="E1506" s="4">
        <v>1154</v>
      </c>
      <c r="F1506" s="4">
        <v>9265093</v>
      </c>
      <c r="G1506" s="4">
        <v>4</v>
      </c>
      <c r="H1506" s="4">
        <v>3</v>
      </c>
      <c r="I1506" s="4" t="s">
        <v>27</v>
      </c>
      <c r="J1506" s="4" t="s">
        <v>23</v>
      </c>
      <c r="K1506" s="4" t="s">
        <v>20</v>
      </c>
      <c r="L1506" s="9">
        <v>45407</v>
      </c>
      <c r="M1506" s="9" t="str">
        <f>TEXT(Source_data[[#This Row],[Listing_Date]],"mmm-yy")</f>
        <v>Apr-24</v>
      </c>
      <c r="N1506" s="4">
        <f t="shared" si="23"/>
        <v>8028.6767764298093</v>
      </c>
      <c r="O1506" s="3" cm="1">
        <f t="array" ref="O1506">_xlfn.IFS(AND(K1506="Broker",J1506="Resale"),F1506*0.5,AND(K1506="Owner",J1506="Resale"),F1506*0,AND(K1506="Builder",J1506="Resale"),F1506*0.3,AND(J1506="New",K1506="Broker"),F1506*0.1,AND(J1506="New",K1506="Owner"),F1506*0,AND(J1506="New",K1506="Builder"),F1506*0.5)</f>
        <v>4632546.5</v>
      </c>
    </row>
    <row r="1507" spans="1:15" x14ac:dyDescent="0.3">
      <c r="A1507" s="8" t="s">
        <v>1597</v>
      </c>
      <c r="B1507" s="4" t="s">
        <v>1447</v>
      </c>
      <c r="C1507" s="4" t="s">
        <v>1461</v>
      </c>
      <c r="D1507" s="4">
        <v>2</v>
      </c>
      <c r="E1507" s="4">
        <v>1446</v>
      </c>
      <c r="F1507" s="4">
        <v>44684828</v>
      </c>
      <c r="G1507" s="4">
        <v>2</v>
      </c>
      <c r="H1507" s="4">
        <v>3</v>
      </c>
      <c r="I1507" s="4" t="s">
        <v>27</v>
      </c>
      <c r="J1507" s="4" t="s">
        <v>23</v>
      </c>
      <c r="K1507" s="4" t="s">
        <v>24</v>
      </c>
      <c r="L1507" s="9">
        <v>45370</v>
      </c>
      <c r="M1507" s="9" t="str">
        <f>TEXT(Source_data[[#This Row],[Listing_Date]],"mmm-yy")</f>
        <v>Mar-24</v>
      </c>
      <c r="N1507" s="4">
        <f t="shared" si="23"/>
        <v>30902.370677731673</v>
      </c>
      <c r="O1507" s="3" cm="1">
        <f t="array" ref="O1507">_xlfn.IFS(AND(K1507="Broker",J1507="Resale"),F1507*0.5,AND(K1507="Owner",J1507="Resale"),F1507*0,AND(K1507="Builder",J1507="Resale"),F1507*0.3,AND(J1507="New",K1507="Broker"),F1507*0.1,AND(J1507="New",K1507="Owner"),F1507*0,AND(J1507="New",K1507="Builder"),F1507*0.5)</f>
        <v>13405448.4</v>
      </c>
    </row>
    <row r="1508" spans="1:15" x14ac:dyDescent="0.3">
      <c r="A1508" s="8" t="s">
        <v>1598</v>
      </c>
      <c r="B1508" s="4" t="s">
        <v>1447</v>
      </c>
      <c r="C1508" s="4" t="s">
        <v>1461</v>
      </c>
      <c r="D1508" s="4">
        <v>3</v>
      </c>
      <c r="E1508" s="4">
        <v>1333</v>
      </c>
      <c r="F1508" s="4">
        <v>11971260</v>
      </c>
      <c r="G1508" s="4">
        <v>3</v>
      </c>
      <c r="H1508" s="4">
        <v>1</v>
      </c>
      <c r="I1508" s="4" t="s">
        <v>18</v>
      </c>
      <c r="J1508" s="4" t="s">
        <v>19</v>
      </c>
      <c r="K1508" s="4" t="s">
        <v>24</v>
      </c>
      <c r="L1508" s="9">
        <v>45552</v>
      </c>
      <c r="M1508" s="9" t="str">
        <f>TEXT(Source_data[[#This Row],[Listing_Date]],"mmm-yy")</f>
        <v>Sep-24</v>
      </c>
      <c r="N1508" s="4">
        <f t="shared" si="23"/>
        <v>8980.6901725431362</v>
      </c>
      <c r="O1508" s="3" cm="1">
        <f t="array" ref="O1508">_xlfn.IFS(AND(K1508="Broker",J1508="Resale"),F1508*0.5,AND(K1508="Owner",J1508="Resale"),F1508*0,AND(K1508="Builder",J1508="Resale"),F1508*0.3,AND(J1508="New",K1508="Broker"),F1508*0.1,AND(J1508="New",K1508="Owner"),F1508*0,AND(J1508="New",K1508="Builder"),F1508*0.5)</f>
        <v>5985630</v>
      </c>
    </row>
    <row r="1509" spans="1:15" x14ac:dyDescent="0.3">
      <c r="A1509" s="8" t="s">
        <v>1599</v>
      </c>
      <c r="B1509" s="4" t="s">
        <v>1447</v>
      </c>
      <c r="C1509" s="4" t="s">
        <v>1461</v>
      </c>
      <c r="D1509" s="4">
        <v>2</v>
      </c>
      <c r="E1509" s="4">
        <v>1384</v>
      </c>
      <c r="F1509" s="4">
        <v>12684969</v>
      </c>
      <c r="G1509" s="4">
        <v>3</v>
      </c>
      <c r="H1509" s="4">
        <v>3</v>
      </c>
      <c r="I1509" s="4" t="s">
        <v>8</v>
      </c>
      <c r="J1509" s="4" t="s">
        <v>23</v>
      </c>
      <c r="K1509" s="4" t="s">
        <v>36</v>
      </c>
      <c r="L1509" s="9">
        <v>45316</v>
      </c>
      <c r="M1509" s="9" t="str">
        <f>TEXT(Source_data[[#This Row],[Listing_Date]],"mmm-yy")</f>
        <v>Jan-24</v>
      </c>
      <c r="N1509" s="4">
        <f t="shared" si="23"/>
        <v>9165.440028901734</v>
      </c>
      <c r="O1509" s="3" cm="1">
        <f t="array" ref="O1509">_xlfn.IFS(AND(K1509="Broker",J1509="Resale"),F1509*0.5,AND(K1509="Owner",J1509="Resale"),F1509*0,AND(K1509="Builder",J1509="Resale"),F1509*0.3,AND(J1509="New",K1509="Broker"),F1509*0.1,AND(J1509="New",K1509="Owner"),F1509*0,AND(J1509="New",K1509="Builder"),F1509*0.5)</f>
        <v>0</v>
      </c>
    </row>
    <row r="1510" spans="1:15" x14ac:dyDescent="0.3">
      <c r="A1510" s="8" t="s">
        <v>1600</v>
      </c>
      <c r="B1510" s="4" t="s">
        <v>1447</v>
      </c>
      <c r="C1510" s="4" t="s">
        <v>1453</v>
      </c>
      <c r="D1510" s="4">
        <v>2</v>
      </c>
      <c r="E1510" s="4">
        <v>1332</v>
      </c>
      <c r="F1510" s="4">
        <v>14805438</v>
      </c>
      <c r="G1510" s="4">
        <v>2</v>
      </c>
      <c r="H1510" s="4">
        <v>1</v>
      </c>
      <c r="I1510" s="4" t="s">
        <v>18</v>
      </c>
      <c r="J1510" s="4" t="s">
        <v>19</v>
      </c>
      <c r="K1510" s="4" t="s">
        <v>20</v>
      </c>
      <c r="L1510" s="9">
        <v>45766</v>
      </c>
      <c r="M1510" s="9" t="str">
        <f>TEXT(Source_data[[#This Row],[Listing_Date]],"mmm-yy")</f>
        <v>Apr-25</v>
      </c>
      <c r="N1510" s="4">
        <f t="shared" si="23"/>
        <v>11115.193693693695</v>
      </c>
      <c r="O1510" s="3" cm="1">
        <f t="array" ref="O1510">_xlfn.IFS(AND(K1510="Broker",J1510="Resale"),F1510*0.5,AND(K1510="Owner",J1510="Resale"),F1510*0,AND(K1510="Builder",J1510="Resale"),F1510*0.3,AND(J1510="New",K1510="Broker"),F1510*0.1,AND(J1510="New",K1510="Owner"),F1510*0,AND(J1510="New",K1510="Builder"),F1510*0.5)</f>
        <v>1480543.8</v>
      </c>
    </row>
    <row r="1511" spans="1:15" x14ac:dyDescent="0.3">
      <c r="A1511" s="8" t="s">
        <v>1601</v>
      </c>
      <c r="B1511" s="4" t="s">
        <v>1447</v>
      </c>
      <c r="C1511" s="4" t="s">
        <v>1461</v>
      </c>
      <c r="D1511" s="4">
        <v>2</v>
      </c>
      <c r="E1511" s="4">
        <v>983</v>
      </c>
      <c r="F1511" s="4">
        <v>8219008</v>
      </c>
      <c r="G1511" s="4">
        <v>2</v>
      </c>
      <c r="H1511" s="4">
        <v>1</v>
      </c>
      <c r="I1511" s="4" t="s">
        <v>8</v>
      </c>
      <c r="J1511" s="4" t="s">
        <v>23</v>
      </c>
      <c r="K1511" s="4" t="s">
        <v>24</v>
      </c>
      <c r="L1511" s="9">
        <v>45433</v>
      </c>
      <c r="M1511" s="9" t="str">
        <f>TEXT(Source_data[[#This Row],[Listing_Date]],"mmm-yy")</f>
        <v>May-24</v>
      </c>
      <c r="N1511" s="4">
        <f t="shared" si="23"/>
        <v>8361.1475076297047</v>
      </c>
      <c r="O1511" s="3" cm="1">
        <f t="array" ref="O1511">_xlfn.IFS(AND(K1511="Broker",J1511="Resale"),F1511*0.5,AND(K1511="Owner",J1511="Resale"),F1511*0,AND(K1511="Builder",J1511="Resale"),F1511*0.3,AND(J1511="New",K1511="Broker"),F1511*0.1,AND(J1511="New",K1511="Owner"),F1511*0,AND(J1511="New",K1511="Builder"),F1511*0.5)</f>
        <v>2465702.4</v>
      </c>
    </row>
    <row r="1512" spans="1:15" x14ac:dyDescent="0.3">
      <c r="A1512" s="8" t="s">
        <v>1602</v>
      </c>
      <c r="B1512" s="4" t="s">
        <v>1447</v>
      </c>
      <c r="C1512" s="4" t="s">
        <v>1451</v>
      </c>
      <c r="D1512" s="4">
        <v>3</v>
      </c>
      <c r="E1512" s="4">
        <v>1535</v>
      </c>
      <c r="F1512" s="4">
        <v>16146094</v>
      </c>
      <c r="G1512" s="4">
        <v>3</v>
      </c>
      <c r="H1512" s="4">
        <v>2</v>
      </c>
      <c r="I1512" s="4" t="s">
        <v>8</v>
      </c>
      <c r="J1512" s="4" t="s">
        <v>23</v>
      </c>
      <c r="K1512" s="4" t="s">
        <v>20</v>
      </c>
      <c r="L1512" s="9">
        <v>45283</v>
      </c>
      <c r="M1512" s="9" t="str">
        <f>TEXT(Source_data[[#This Row],[Listing_Date]],"mmm-yy")</f>
        <v>Dec-23</v>
      </c>
      <c r="N1512" s="4">
        <f t="shared" si="23"/>
        <v>10518.628013029316</v>
      </c>
      <c r="O1512" s="3" cm="1">
        <f t="array" ref="O1512">_xlfn.IFS(AND(K1512="Broker",J1512="Resale"),F1512*0.5,AND(K1512="Owner",J1512="Resale"),F1512*0,AND(K1512="Builder",J1512="Resale"),F1512*0.3,AND(J1512="New",K1512="Broker"),F1512*0.1,AND(J1512="New",K1512="Owner"),F1512*0,AND(J1512="New",K1512="Builder"),F1512*0.5)</f>
        <v>8073047</v>
      </c>
    </row>
    <row r="1513" spans="1:15" x14ac:dyDescent="0.3">
      <c r="A1513" s="8" t="s">
        <v>1603</v>
      </c>
      <c r="B1513" s="4" t="s">
        <v>1447</v>
      </c>
      <c r="C1513" s="4" t="s">
        <v>1461</v>
      </c>
      <c r="D1513" s="4">
        <v>2</v>
      </c>
      <c r="E1513" s="4">
        <v>1247</v>
      </c>
      <c r="F1513" s="4">
        <v>11032101</v>
      </c>
      <c r="G1513" s="4">
        <v>1</v>
      </c>
      <c r="H1513" s="4">
        <v>1</v>
      </c>
      <c r="I1513" s="4" t="s">
        <v>27</v>
      </c>
      <c r="J1513" s="4" t="s">
        <v>19</v>
      </c>
      <c r="K1513" s="4" t="s">
        <v>24</v>
      </c>
      <c r="L1513" s="9">
        <v>45141</v>
      </c>
      <c r="M1513" s="9" t="str">
        <f>TEXT(Source_data[[#This Row],[Listing_Date]],"mmm-yy")</f>
        <v>Aug-23</v>
      </c>
      <c r="N1513" s="4">
        <f t="shared" si="23"/>
        <v>8846.9133921411394</v>
      </c>
      <c r="O1513" s="3" cm="1">
        <f t="array" ref="O1513">_xlfn.IFS(AND(K1513="Broker",J1513="Resale"),F1513*0.5,AND(K1513="Owner",J1513="Resale"),F1513*0,AND(K1513="Builder",J1513="Resale"),F1513*0.3,AND(J1513="New",K1513="Broker"),F1513*0.1,AND(J1513="New",K1513="Owner"),F1513*0,AND(J1513="New",K1513="Builder"),F1513*0.5)</f>
        <v>5516050.5</v>
      </c>
    </row>
    <row r="1514" spans="1:15" x14ac:dyDescent="0.3">
      <c r="A1514" s="8" t="s">
        <v>1604</v>
      </c>
      <c r="B1514" s="4" t="s">
        <v>1447</v>
      </c>
      <c r="C1514" s="4" t="s">
        <v>1448</v>
      </c>
      <c r="D1514" s="4">
        <v>3</v>
      </c>
      <c r="E1514" s="4">
        <v>1937</v>
      </c>
      <c r="F1514" s="4">
        <v>22624030</v>
      </c>
      <c r="G1514" s="4">
        <v>3</v>
      </c>
      <c r="H1514" s="4">
        <v>1</v>
      </c>
      <c r="I1514" s="4" t="s">
        <v>8</v>
      </c>
      <c r="J1514" s="4" t="s">
        <v>19</v>
      </c>
      <c r="K1514" s="4" t="s">
        <v>20</v>
      </c>
      <c r="L1514" s="9">
        <v>45676</v>
      </c>
      <c r="M1514" s="9" t="str">
        <f>TEXT(Source_data[[#This Row],[Listing_Date]],"mmm-yy")</f>
        <v>Jan-25</v>
      </c>
      <c r="N1514" s="4">
        <f t="shared" si="23"/>
        <v>11679.932885906041</v>
      </c>
      <c r="O1514" s="3" cm="1">
        <f t="array" ref="O1514">_xlfn.IFS(AND(K1514="Broker",J1514="Resale"),F1514*0.5,AND(K1514="Owner",J1514="Resale"),F1514*0,AND(K1514="Builder",J1514="Resale"),F1514*0.3,AND(J1514="New",K1514="Broker"),F1514*0.1,AND(J1514="New",K1514="Owner"),F1514*0,AND(J1514="New",K1514="Builder"),F1514*0.5)</f>
        <v>2262403</v>
      </c>
    </row>
    <row r="1515" spans="1:15" x14ac:dyDescent="0.3">
      <c r="A1515" s="8" t="s">
        <v>1605</v>
      </c>
      <c r="B1515" s="4" t="s">
        <v>1447</v>
      </c>
      <c r="C1515" s="4" t="s">
        <v>1461</v>
      </c>
      <c r="D1515" s="4">
        <v>2</v>
      </c>
      <c r="E1515" s="4">
        <v>876</v>
      </c>
      <c r="F1515" s="4">
        <v>10052478</v>
      </c>
      <c r="G1515" s="4">
        <v>2</v>
      </c>
      <c r="H1515" s="4">
        <v>1</v>
      </c>
      <c r="I1515" s="4" t="s">
        <v>18</v>
      </c>
      <c r="J1515" s="4" t="s">
        <v>19</v>
      </c>
      <c r="K1515" s="4" t="s">
        <v>24</v>
      </c>
      <c r="L1515" s="9">
        <v>45742</v>
      </c>
      <c r="M1515" s="9" t="str">
        <f>TEXT(Source_data[[#This Row],[Listing_Date]],"mmm-yy")</f>
        <v>Mar-25</v>
      </c>
      <c r="N1515" s="4">
        <f t="shared" si="23"/>
        <v>11475.431506849314</v>
      </c>
      <c r="O1515" s="3" cm="1">
        <f t="array" ref="O1515">_xlfn.IFS(AND(K1515="Broker",J1515="Resale"),F1515*0.5,AND(K1515="Owner",J1515="Resale"),F1515*0,AND(K1515="Builder",J1515="Resale"),F1515*0.3,AND(J1515="New",K1515="Broker"),F1515*0.1,AND(J1515="New",K1515="Owner"),F1515*0,AND(J1515="New",K1515="Builder"),F1515*0.5)</f>
        <v>5026239</v>
      </c>
    </row>
    <row r="1516" spans="1:15" x14ac:dyDescent="0.3">
      <c r="A1516" s="8" t="s">
        <v>1606</v>
      </c>
      <c r="B1516" s="4" t="s">
        <v>1447</v>
      </c>
      <c r="C1516" s="4" t="s">
        <v>1453</v>
      </c>
      <c r="D1516" s="4">
        <v>3</v>
      </c>
      <c r="E1516" s="4">
        <v>1327</v>
      </c>
      <c r="F1516" s="4">
        <v>9744228</v>
      </c>
      <c r="G1516" s="4">
        <v>3</v>
      </c>
      <c r="H1516" s="4">
        <v>1</v>
      </c>
      <c r="I1516" s="4" t="s">
        <v>8</v>
      </c>
      <c r="J1516" s="4" t="s">
        <v>19</v>
      </c>
      <c r="K1516" s="4" t="s">
        <v>20</v>
      </c>
      <c r="L1516" s="9">
        <v>45805</v>
      </c>
      <c r="M1516" s="9" t="str">
        <f>TEXT(Source_data[[#This Row],[Listing_Date]],"mmm-yy")</f>
        <v>May-25</v>
      </c>
      <c r="N1516" s="4">
        <f t="shared" si="23"/>
        <v>7343.0504898266763</v>
      </c>
      <c r="O1516" s="3" cm="1">
        <f t="array" ref="O1516">_xlfn.IFS(AND(K1516="Broker",J1516="Resale"),F1516*0.5,AND(K1516="Owner",J1516="Resale"),F1516*0,AND(K1516="Builder",J1516="Resale"),F1516*0.3,AND(J1516="New",K1516="Broker"),F1516*0.1,AND(J1516="New",K1516="Owner"),F1516*0,AND(J1516="New",K1516="Builder"),F1516*0.5)</f>
        <v>974422.8</v>
      </c>
    </row>
    <row r="1517" spans="1:15" x14ac:dyDescent="0.3">
      <c r="A1517" s="8" t="s">
        <v>1607</v>
      </c>
      <c r="B1517" s="4" t="s">
        <v>1447</v>
      </c>
      <c r="C1517" s="4" t="s">
        <v>1475</v>
      </c>
      <c r="D1517" s="4">
        <v>2</v>
      </c>
      <c r="E1517" s="4">
        <v>762</v>
      </c>
      <c r="F1517" s="4">
        <v>4609558</v>
      </c>
      <c r="G1517" s="4">
        <v>2</v>
      </c>
      <c r="H1517" s="4">
        <v>2</v>
      </c>
      <c r="I1517" s="4" t="s">
        <v>27</v>
      </c>
      <c r="J1517" s="4" t="s">
        <v>23</v>
      </c>
      <c r="K1517" s="4" t="s">
        <v>36</v>
      </c>
      <c r="L1517" s="9">
        <v>45196</v>
      </c>
      <c r="M1517" s="9" t="str">
        <f>TEXT(Source_data[[#This Row],[Listing_Date]],"mmm-yy")</f>
        <v>Sep-23</v>
      </c>
      <c r="N1517" s="4">
        <f t="shared" si="23"/>
        <v>6049.2887139107615</v>
      </c>
      <c r="O1517" s="3" cm="1">
        <f t="array" ref="O1517">_xlfn.IFS(AND(K1517="Broker",J1517="Resale"),F1517*0.5,AND(K1517="Owner",J1517="Resale"),F1517*0,AND(K1517="Builder",J1517="Resale"),F1517*0.3,AND(J1517="New",K1517="Broker"),F1517*0.1,AND(J1517="New",K1517="Owner"),F1517*0,AND(J1517="New",K1517="Builder"),F1517*0.5)</f>
        <v>0</v>
      </c>
    </row>
    <row r="1518" spans="1:15" x14ac:dyDescent="0.3">
      <c r="A1518" s="8" t="s">
        <v>1608</v>
      </c>
      <c r="B1518" s="4" t="s">
        <v>1447</v>
      </c>
      <c r="C1518" s="4" t="s">
        <v>1461</v>
      </c>
      <c r="D1518" s="4">
        <v>1</v>
      </c>
      <c r="E1518" s="4">
        <v>578</v>
      </c>
      <c r="F1518" s="4">
        <v>4798886</v>
      </c>
      <c r="G1518" s="4">
        <v>1</v>
      </c>
      <c r="H1518" s="4">
        <v>2</v>
      </c>
      <c r="I1518" s="4" t="s">
        <v>18</v>
      </c>
      <c r="J1518" s="4" t="s">
        <v>23</v>
      </c>
      <c r="K1518" s="4" t="s">
        <v>36</v>
      </c>
      <c r="L1518" s="9">
        <v>45610</v>
      </c>
      <c r="M1518" s="9" t="str">
        <f>TEXT(Source_data[[#This Row],[Listing_Date]],"mmm-yy")</f>
        <v>Nov-24</v>
      </c>
      <c r="N1518" s="4">
        <f t="shared" si="23"/>
        <v>8302.5709342560549</v>
      </c>
      <c r="O1518" s="3" cm="1">
        <f t="array" ref="O1518">_xlfn.IFS(AND(K1518="Broker",J1518="Resale"),F1518*0.5,AND(K1518="Owner",J1518="Resale"),F1518*0,AND(K1518="Builder",J1518="Resale"),F1518*0.3,AND(J1518="New",K1518="Broker"),F1518*0.1,AND(J1518="New",K1518="Owner"),F1518*0,AND(J1518="New",K1518="Builder"),F1518*0.5)</f>
        <v>0</v>
      </c>
    </row>
    <row r="1519" spans="1:15" x14ac:dyDescent="0.3">
      <c r="A1519" s="8" t="s">
        <v>1609</v>
      </c>
      <c r="B1519" s="4" t="s">
        <v>1447</v>
      </c>
      <c r="C1519" s="4" t="s">
        <v>1451</v>
      </c>
      <c r="D1519" s="4">
        <v>2</v>
      </c>
      <c r="E1519" s="4">
        <v>681</v>
      </c>
      <c r="F1519" s="4">
        <v>6877737</v>
      </c>
      <c r="G1519" s="4">
        <v>2</v>
      </c>
      <c r="H1519" s="4">
        <v>2</v>
      </c>
      <c r="I1519" s="4" t="s">
        <v>27</v>
      </c>
      <c r="J1519" s="4" t="s">
        <v>23</v>
      </c>
      <c r="K1519" s="4" t="s">
        <v>36</v>
      </c>
      <c r="L1519" s="9">
        <v>45098</v>
      </c>
      <c r="M1519" s="9" t="str">
        <f>TEXT(Source_data[[#This Row],[Listing_Date]],"mmm-yy")</f>
        <v>Jun-23</v>
      </c>
      <c r="N1519" s="4">
        <f t="shared" si="23"/>
        <v>10099.466960352423</v>
      </c>
      <c r="O1519" s="3" cm="1">
        <f t="array" ref="O1519">_xlfn.IFS(AND(K1519="Broker",J1519="Resale"),F1519*0.5,AND(K1519="Owner",J1519="Resale"),F1519*0,AND(K1519="Builder",J1519="Resale"),F1519*0.3,AND(J1519="New",K1519="Broker"),F1519*0.1,AND(J1519="New",K1519="Owner"),F1519*0,AND(J1519="New",K1519="Builder"),F1519*0.5)</f>
        <v>0</v>
      </c>
    </row>
    <row r="1520" spans="1:15" x14ac:dyDescent="0.3">
      <c r="A1520" s="8" t="s">
        <v>1610</v>
      </c>
      <c r="B1520" s="4" t="s">
        <v>1447</v>
      </c>
      <c r="C1520" s="4" t="s">
        <v>1451</v>
      </c>
      <c r="D1520" s="4">
        <v>2</v>
      </c>
      <c r="E1520" s="4">
        <v>1148</v>
      </c>
      <c r="F1520" s="4">
        <v>11092701</v>
      </c>
      <c r="G1520" s="4">
        <v>2</v>
      </c>
      <c r="H1520" s="4">
        <v>3</v>
      </c>
      <c r="I1520" s="4" t="s">
        <v>8</v>
      </c>
      <c r="J1520" s="4" t="s">
        <v>19</v>
      </c>
      <c r="K1520" s="4" t="s">
        <v>36</v>
      </c>
      <c r="L1520" s="9">
        <v>44956</v>
      </c>
      <c r="M1520" s="9" t="str">
        <f>TEXT(Source_data[[#This Row],[Listing_Date]],"mmm-yy")</f>
        <v>Jan-23</v>
      </c>
      <c r="N1520" s="4">
        <f t="shared" si="23"/>
        <v>9662.6315331010446</v>
      </c>
      <c r="O1520" s="3" cm="1">
        <f t="array" ref="O1520">_xlfn.IFS(AND(K1520="Broker",J1520="Resale"),F1520*0.5,AND(K1520="Owner",J1520="Resale"),F1520*0,AND(K1520="Builder",J1520="Resale"),F1520*0.3,AND(J1520="New",K1520="Broker"),F1520*0.1,AND(J1520="New",K1520="Owner"),F1520*0,AND(J1520="New",K1520="Builder"),F1520*0.5)</f>
        <v>0</v>
      </c>
    </row>
    <row r="1521" spans="1:15" x14ac:dyDescent="0.3">
      <c r="A1521" s="8" t="s">
        <v>1611</v>
      </c>
      <c r="B1521" s="4" t="s">
        <v>1447</v>
      </c>
      <c r="C1521" s="4" t="s">
        <v>1475</v>
      </c>
      <c r="D1521" s="4">
        <v>3</v>
      </c>
      <c r="E1521" s="4">
        <v>1086</v>
      </c>
      <c r="F1521" s="4">
        <v>12123077</v>
      </c>
      <c r="G1521" s="4">
        <v>3</v>
      </c>
      <c r="H1521" s="4">
        <v>2</v>
      </c>
      <c r="I1521" s="4" t="s">
        <v>18</v>
      </c>
      <c r="J1521" s="4" t="s">
        <v>19</v>
      </c>
      <c r="K1521" s="4" t="s">
        <v>36</v>
      </c>
      <c r="L1521" s="9">
        <v>45692</v>
      </c>
      <c r="M1521" s="9" t="str">
        <f>TEXT(Source_data[[#This Row],[Listing_Date]],"mmm-yy")</f>
        <v>Feb-25</v>
      </c>
      <c r="N1521" s="4">
        <f t="shared" si="23"/>
        <v>11163.054327808471</v>
      </c>
      <c r="O1521" s="3" cm="1">
        <f t="array" ref="O1521">_xlfn.IFS(AND(K1521="Broker",J1521="Resale"),F1521*0.5,AND(K1521="Owner",J1521="Resale"),F1521*0,AND(K1521="Builder",J1521="Resale"),F1521*0.3,AND(J1521="New",K1521="Broker"),F1521*0.1,AND(J1521="New",K1521="Owner"),F1521*0,AND(J1521="New",K1521="Builder"),F1521*0.5)</f>
        <v>0</v>
      </c>
    </row>
    <row r="1522" spans="1:15" x14ac:dyDescent="0.3">
      <c r="A1522" s="8" t="s">
        <v>1612</v>
      </c>
      <c r="B1522" s="4" t="s">
        <v>1447</v>
      </c>
      <c r="C1522" s="4" t="s">
        <v>1475</v>
      </c>
      <c r="D1522" s="4">
        <v>3</v>
      </c>
      <c r="E1522" s="4">
        <v>1747</v>
      </c>
      <c r="F1522" s="4">
        <v>15077824</v>
      </c>
      <c r="G1522" s="4">
        <v>3</v>
      </c>
      <c r="H1522" s="4">
        <v>0</v>
      </c>
      <c r="I1522" s="4" t="s">
        <v>18</v>
      </c>
      <c r="J1522" s="4" t="s">
        <v>19</v>
      </c>
      <c r="K1522" s="4" t="s">
        <v>36</v>
      </c>
      <c r="L1522" s="9">
        <v>44998</v>
      </c>
      <c r="M1522" s="9" t="str">
        <f>TEXT(Source_data[[#This Row],[Listing_Date]],"mmm-yy")</f>
        <v>Mar-23</v>
      </c>
      <c r="N1522" s="4">
        <f t="shared" si="23"/>
        <v>8630.6949055523746</v>
      </c>
      <c r="O1522" s="3" cm="1">
        <f t="array" ref="O1522">_xlfn.IFS(AND(K1522="Broker",J1522="Resale"),F1522*0.5,AND(K1522="Owner",J1522="Resale"),F1522*0,AND(K1522="Builder",J1522="Resale"),F1522*0.3,AND(J1522="New",K1522="Broker"),F1522*0.1,AND(J1522="New",K1522="Owner"),F1522*0,AND(J1522="New",K1522="Builder"),F1522*0.5)</f>
        <v>0</v>
      </c>
    </row>
    <row r="1523" spans="1:15" x14ac:dyDescent="0.3">
      <c r="A1523" s="8" t="s">
        <v>1613</v>
      </c>
      <c r="B1523" s="4" t="s">
        <v>1447</v>
      </c>
      <c r="C1523" s="4" t="s">
        <v>1448</v>
      </c>
      <c r="D1523" s="4">
        <v>1</v>
      </c>
      <c r="E1523" s="4">
        <v>564</v>
      </c>
      <c r="F1523" s="4">
        <v>5176612</v>
      </c>
      <c r="G1523" s="4">
        <v>1</v>
      </c>
      <c r="H1523" s="4">
        <v>2</v>
      </c>
      <c r="I1523" s="4" t="s">
        <v>27</v>
      </c>
      <c r="J1523" s="4" t="s">
        <v>19</v>
      </c>
      <c r="K1523" s="4" t="s">
        <v>24</v>
      </c>
      <c r="L1523" s="9">
        <v>45768</v>
      </c>
      <c r="M1523" s="9" t="str">
        <f>TEXT(Source_data[[#This Row],[Listing_Date]],"mmm-yy")</f>
        <v>Apr-25</v>
      </c>
      <c r="N1523" s="4">
        <f t="shared" si="23"/>
        <v>9178.3900709219852</v>
      </c>
      <c r="O1523" s="3" cm="1">
        <f t="array" ref="O1523">_xlfn.IFS(AND(K1523="Broker",J1523="Resale"),F1523*0.5,AND(K1523="Owner",J1523="Resale"),F1523*0,AND(K1523="Builder",J1523="Resale"),F1523*0.3,AND(J1523="New",K1523="Broker"),F1523*0.1,AND(J1523="New",K1523="Owner"),F1523*0,AND(J1523="New",K1523="Builder"),F1523*0.5)</f>
        <v>2588306</v>
      </c>
    </row>
    <row r="1524" spans="1:15" x14ac:dyDescent="0.3">
      <c r="A1524" s="8" t="s">
        <v>1614</v>
      </c>
      <c r="B1524" s="4" t="s">
        <v>1447</v>
      </c>
      <c r="C1524" s="4" t="s">
        <v>1451</v>
      </c>
      <c r="D1524" s="4">
        <v>1</v>
      </c>
      <c r="E1524" s="4">
        <v>502</v>
      </c>
      <c r="F1524" s="4">
        <v>3521848</v>
      </c>
      <c r="G1524" s="4">
        <v>2</v>
      </c>
      <c r="H1524" s="4">
        <v>2</v>
      </c>
      <c r="I1524" s="4" t="s">
        <v>27</v>
      </c>
      <c r="J1524" s="4" t="s">
        <v>19</v>
      </c>
      <c r="K1524" s="4" t="s">
        <v>36</v>
      </c>
      <c r="L1524" s="9">
        <v>45084</v>
      </c>
      <c r="M1524" s="9" t="str">
        <f>TEXT(Source_data[[#This Row],[Listing_Date]],"mmm-yy")</f>
        <v>Jun-23</v>
      </c>
      <c r="N1524" s="4">
        <f t="shared" si="23"/>
        <v>7015.6334661354585</v>
      </c>
      <c r="O1524" s="3" cm="1">
        <f t="array" ref="O1524">_xlfn.IFS(AND(K1524="Broker",J1524="Resale"),F1524*0.5,AND(K1524="Owner",J1524="Resale"),F1524*0,AND(K1524="Builder",J1524="Resale"),F1524*0.3,AND(J1524="New",K1524="Broker"),F1524*0.1,AND(J1524="New",K1524="Owner"),F1524*0,AND(J1524="New",K1524="Builder"),F1524*0.5)</f>
        <v>0</v>
      </c>
    </row>
    <row r="1525" spans="1:15" x14ac:dyDescent="0.3">
      <c r="A1525" s="8" t="s">
        <v>1615</v>
      </c>
      <c r="B1525" s="4" t="s">
        <v>1447</v>
      </c>
      <c r="C1525" s="4" t="s">
        <v>1453</v>
      </c>
      <c r="D1525" s="4">
        <v>3</v>
      </c>
      <c r="E1525" s="4">
        <v>1722</v>
      </c>
      <c r="F1525" s="4">
        <v>18625881</v>
      </c>
      <c r="G1525" s="4">
        <v>3</v>
      </c>
      <c r="H1525" s="4">
        <v>3</v>
      </c>
      <c r="I1525" s="4" t="s">
        <v>27</v>
      </c>
      <c r="J1525" s="4" t="s">
        <v>23</v>
      </c>
      <c r="K1525" s="4" t="s">
        <v>36</v>
      </c>
      <c r="L1525" s="9">
        <v>45583</v>
      </c>
      <c r="M1525" s="9" t="str">
        <f>TEXT(Source_data[[#This Row],[Listing_Date]],"mmm-yy")</f>
        <v>Oct-24</v>
      </c>
      <c r="N1525" s="4">
        <f t="shared" si="23"/>
        <v>10816.423344947736</v>
      </c>
      <c r="O1525" s="3" cm="1">
        <f t="array" ref="O1525">_xlfn.IFS(AND(K1525="Broker",J1525="Resale"),F1525*0.5,AND(K1525="Owner",J1525="Resale"),F1525*0,AND(K1525="Builder",J1525="Resale"),F1525*0.3,AND(J1525="New",K1525="Broker"),F1525*0.1,AND(J1525="New",K1525="Owner"),F1525*0,AND(J1525="New",K1525="Builder"),F1525*0.5)</f>
        <v>0</v>
      </c>
    </row>
    <row r="1526" spans="1:15" x14ac:dyDescent="0.3">
      <c r="A1526" s="8" t="s">
        <v>1616</v>
      </c>
      <c r="B1526" s="4" t="s">
        <v>1447</v>
      </c>
      <c r="C1526" s="4" t="s">
        <v>1448</v>
      </c>
      <c r="D1526" s="4">
        <v>3</v>
      </c>
      <c r="E1526" s="4">
        <v>907</v>
      </c>
      <c r="F1526" s="4">
        <v>9493647</v>
      </c>
      <c r="G1526" s="4">
        <v>3</v>
      </c>
      <c r="H1526" s="4">
        <v>4</v>
      </c>
      <c r="I1526" s="4" t="s">
        <v>27</v>
      </c>
      <c r="J1526" s="4" t="s">
        <v>23</v>
      </c>
      <c r="K1526" s="4" t="s">
        <v>20</v>
      </c>
      <c r="L1526" s="9">
        <v>45448</v>
      </c>
      <c r="M1526" s="9" t="str">
        <f>TEXT(Source_data[[#This Row],[Listing_Date]],"mmm-yy")</f>
        <v>Jun-24</v>
      </c>
      <c r="N1526" s="4">
        <f t="shared" si="23"/>
        <v>10467.085997794928</v>
      </c>
      <c r="O1526" s="3" cm="1">
        <f t="array" ref="O1526">_xlfn.IFS(AND(K1526="Broker",J1526="Resale"),F1526*0.5,AND(K1526="Owner",J1526="Resale"),F1526*0,AND(K1526="Builder",J1526="Resale"),F1526*0.3,AND(J1526="New",K1526="Broker"),F1526*0.1,AND(J1526="New",K1526="Owner"),F1526*0,AND(J1526="New",K1526="Builder"),F1526*0.5)</f>
        <v>4746823.5</v>
      </c>
    </row>
    <row r="1527" spans="1:15" x14ac:dyDescent="0.3">
      <c r="A1527" s="8" t="s">
        <v>1617</v>
      </c>
      <c r="B1527" s="4" t="s">
        <v>1447</v>
      </c>
      <c r="C1527" s="4" t="s">
        <v>1453</v>
      </c>
      <c r="D1527" s="4">
        <v>3</v>
      </c>
      <c r="E1527" s="4">
        <v>1204</v>
      </c>
      <c r="F1527" s="4">
        <v>12066956</v>
      </c>
      <c r="G1527" s="4">
        <v>2</v>
      </c>
      <c r="H1527" s="4">
        <v>2</v>
      </c>
      <c r="I1527" s="4" t="s">
        <v>8</v>
      </c>
      <c r="J1527" s="4" t="s">
        <v>19</v>
      </c>
      <c r="K1527" s="4" t="s">
        <v>24</v>
      </c>
      <c r="L1527" s="9">
        <v>45905</v>
      </c>
      <c r="M1527" s="9" t="str">
        <f>TEXT(Source_data[[#This Row],[Listing_Date]],"mmm-yy")</f>
        <v>Sep-25</v>
      </c>
      <c r="N1527" s="4">
        <f t="shared" si="23"/>
        <v>10022.388704318937</v>
      </c>
      <c r="O1527" s="3" cm="1">
        <f t="array" ref="O1527">_xlfn.IFS(AND(K1527="Broker",J1527="Resale"),F1527*0.5,AND(K1527="Owner",J1527="Resale"),F1527*0,AND(K1527="Builder",J1527="Resale"),F1527*0.3,AND(J1527="New",K1527="Broker"),F1527*0.1,AND(J1527="New",K1527="Owner"),F1527*0,AND(J1527="New",K1527="Builder"),F1527*0.5)</f>
        <v>6033478</v>
      </c>
    </row>
    <row r="1528" spans="1:15" x14ac:dyDescent="0.3">
      <c r="A1528" s="8" t="s">
        <v>1618</v>
      </c>
      <c r="B1528" s="4" t="s">
        <v>1447</v>
      </c>
      <c r="C1528" s="4" t="s">
        <v>1453</v>
      </c>
      <c r="D1528" s="4">
        <v>2</v>
      </c>
      <c r="E1528" s="4">
        <v>1020</v>
      </c>
      <c r="F1528" s="4">
        <v>7123585</v>
      </c>
      <c r="G1528" s="4">
        <v>2</v>
      </c>
      <c r="H1528" s="4">
        <v>1</v>
      </c>
      <c r="I1528" s="4" t="s">
        <v>18</v>
      </c>
      <c r="J1528" s="4" t="s">
        <v>19</v>
      </c>
      <c r="K1528" s="4" t="s">
        <v>36</v>
      </c>
      <c r="L1528" s="9">
        <v>45743</v>
      </c>
      <c r="M1528" s="9" t="str">
        <f>TEXT(Source_data[[#This Row],[Listing_Date]],"mmm-yy")</f>
        <v>Mar-25</v>
      </c>
      <c r="N1528" s="4">
        <f t="shared" si="23"/>
        <v>6983.9068627450979</v>
      </c>
      <c r="O1528" s="3" cm="1">
        <f t="array" ref="O1528">_xlfn.IFS(AND(K1528="Broker",J1528="Resale"),F1528*0.5,AND(K1528="Owner",J1528="Resale"),F1528*0,AND(K1528="Builder",J1528="Resale"),F1528*0.3,AND(J1528="New",K1528="Broker"),F1528*0.1,AND(J1528="New",K1528="Owner"),F1528*0,AND(J1528="New",K1528="Builder"),F1528*0.5)</f>
        <v>0</v>
      </c>
    </row>
    <row r="1529" spans="1:15" x14ac:dyDescent="0.3">
      <c r="A1529" s="8" t="s">
        <v>1619</v>
      </c>
      <c r="B1529" s="4" t="s">
        <v>1447</v>
      </c>
      <c r="C1529" s="4" t="s">
        <v>1475</v>
      </c>
      <c r="D1529" s="4">
        <v>4</v>
      </c>
      <c r="E1529" s="4">
        <v>1691</v>
      </c>
      <c r="F1529" s="4">
        <v>13778843</v>
      </c>
      <c r="G1529" s="4">
        <v>3</v>
      </c>
      <c r="H1529" s="4">
        <v>2</v>
      </c>
      <c r="I1529" s="4" t="s">
        <v>8</v>
      </c>
      <c r="J1529" s="4" t="s">
        <v>23</v>
      </c>
      <c r="K1529" s="4" t="s">
        <v>36</v>
      </c>
      <c r="L1529" s="9">
        <v>45272</v>
      </c>
      <c r="M1529" s="9" t="str">
        <f>TEXT(Source_data[[#This Row],[Listing_Date]],"mmm-yy")</f>
        <v>Dec-23</v>
      </c>
      <c r="N1529" s="4">
        <f t="shared" si="23"/>
        <v>8148.3400354819632</v>
      </c>
      <c r="O1529" s="3" cm="1">
        <f t="array" ref="O1529">_xlfn.IFS(AND(K1529="Broker",J1529="Resale"),F1529*0.5,AND(K1529="Owner",J1529="Resale"),F1529*0,AND(K1529="Builder",J1529="Resale"),F1529*0.3,AND(J1529="New",K1529="Broker"),F1529*0.1,AND(J1529="New",K1529="Owner"),F1529*0,AND(J1529="New",K1529="Builder"),F1529*0.5)</f>
        <v>0</v>
      </c>
    </row>
    <row r="1530" spans="1:15" x14ac:dyDescent="0.3">
      <c r="A1530" s="8" t="s">
        <v>1620</v>
      </c>
      <c r="B1530" s="4" t="s">
        <v>1447</v>
      </c>
      <c r="C1530" s="4" t="s">
        <v>1448</v>
      </c>
      <c r="D1530" s="4">
        <v>2</v>
      </c>
      <c r="E1530" s="4">
        <v>1005</v>
      </c>
      <c r="F1530" s="4">
        <v>9446420</v>
      </c>
      <c r="G1530" s="4">
        <v>2</v>
      </c>
      <c r="H1530" s="4">
        <v>2</v>
      </c>
      <c r="I1530" s="4" t="s">
        <v>27</v>
      </c>
      <c r="J1530" s="4" t="s">
        <v>23</v>
      </c>
      <c r="K1530" s="4" t="s">
        <v>20</v>
      </c>
      <c r="L1530" s="9">
        <v>45043</v>
      </c>
      <c r="M1530" s="9" t="str">
        <f>TEXT(Source_data[[#This Row],[Listing_Date]],"mmm-yy")</f>
        <v>Apr-23</v>
      </c>
      <c r="N1530" s="4">
        <f t="shared" si="23"/>
        <v>9399.4228855721394</v>
      </c>
      <c r="O1530" s="3" cm="1">
        <f t="array" ref="O1530">_xlfn.IFS(AND(K1530="Broker",J1530="Resale"),F1530*0.5,AND(K1530="Owner",J1530="Resale"),F1530*0,AND(K1530="Builder",J1530="Resale"),F1530*0.3,AND(J1530="New",K1530="Broker"),F1530*0.1,AND(J1530="New",K1530="Owner"),F1530*0,AND(J1530="New",K1530="Builder"),F1530*0.5)</f>
        <v>4723210</v>
      </c>
    </row>
    <row r="1531" spans="1:15" x14ac:dyDescent="0.3">
      <c r="A1531" s="8" t="s">
        <v>1621</v>
      </c>
      <c r="B1531" s="2" t="s">
        <v>1447</v>
      </c>
      <c r="C1531" s="2" t="s">
        <v>1451</v>
      </c>
      <c r="D1531" s="2">
        <v>4</v>
      </c>
      <c r="E1531" s="2">
        <v>1977</v>
      </c>
      <c r="F1531" s="2">
        <v>43210467</v>
      </c>
      <c r="G1531" s="2">
        <v>3</v>
      </c>
      <c r="H1531" s="2">
        <v>1</v>
      </c>
      <c r="I1531" s="2" t="s">
        <v>18</v>
      </c>
      <c r="J1531" s="2" t="s">
        <v>23</v>
      </c>
      <c r="K1531" s="2" t="s">
        <v>20</v>
      </c>
      <c r="L1531" s="10">
        <v>45566</v>
      </c>
      <c r="M1531" s="10" t="str">
        <f>TEXT(Source_data[[#This Row],[Listing_Date]],"mmm-yy")</f>
        <v>Oct-24</v>
      </c>
      <c r="N1531" s="2">
        <f t="shared" si="23"/>
        <v>21856.584218512897</v>
      </c>
      <c r="O1531" s="1" cm="1">
        <f t="array" ref="O1531">_xlfn.IFS(AND(K1531="Broker",J1531="Resale"),F1531*0.5,AND(K1531="Owner",J1531="Resale"),F1531*0,AND(K1531="Builder",J1531="Resale"),F1531*0.3,AND(J1531="New",K1531="Broker"),F1531*0.1,AND(J1531="New",K1531="Owner"),F1531*0,AND(J1531="New",K1531="Builder"),F1531*0.5)</f>
        <v>21605233.5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sul</dc:creator>
  <cp:lastModifiedBy>rohit sul</cp:lastModifiedBy>
  <dcterms:created xsi:type="dcterms:W3CDTF">2026-10-06T12:34:13Z</dcterms:created>
  <dcterms:modified xsi:type="dcterms:W3CDTF">2026-10-22T13:05:29Z</dcterms:modified>
</cp:coreProperties>
</file>